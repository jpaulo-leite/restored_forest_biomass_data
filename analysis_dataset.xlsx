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77e1c73637e4fa/Área de Trabalho/Trabalho/Artigo IC/biomass_wood_density_repository/data/"/>
    </mc:Choice>
  </mc:AlternateContent>
  <xr:revisionPtr revIDLastSave="240" documentId="13_ncr:1_{4E048568-B7C2-4531-A302-259C51778278}" xr6:coauthVersionLast="47" xr6:coauthVersionMax="47" xr10:uidLastSave="{B0D9070D-1AC4-4DB6-BD22-6C22900BC4D0}"/>
  <bookViews>
    <workbookView xWindow="-108" yWindow="-108" windowWidth="23256" windowHeight="12456" firstSheet="4" activeTab="4" xr2:uid="{15741C18-050B-4D29-A65F-69054D318CF1}"/>
  </bookViews>
  <sheets>
    <sheet name="Dados BRUTOS" sheetId="1" state="hidden" r:id="rId1"/>
    <sheet name="Dados brutos R" sheetId="4" state="hidden" r:id="rId2"/>
    <sheet name="Dados literatura (variação)" sheetId="9" state="hidden" r:id="rId3"/>
    <sheet name="Objetivo a) rascunho tabela" sheetId="10" state="hidden" r:id="rId4"/>
    <sheet name="Objetivo_a_R" sheetId="11" r:id="rId5"/>
    <sheet name="sp2" sheetId="14" state="hidden" r:id="rId6"/>
    <sheet name="sp4" sheetId="15" state="hidden" r:id="rId7"/>
    <sheet name="sp10" sheetId="16" state="hidden" r:id="rId8"/>
    <sheet name="sp15" sheetId="17" state="hidden" r:id="rId9"/>
    <sheet name="sp20" sheetId="18" state="hidden" r:id="rId10"/>
    <sheet name="sp22" sheetId="19" state="hidden" r:id="rId11"/>
    <sheet name="Objetivo b) rascunho" sheetId="12" state="hidden" r:id="rId12"/>
    <sheet name="Objetivo_b_R" sheetId="13" r:id="rId13"/>
    <sheet name="wood_density_sampled" sheetId="20" r:id="rId14"/>
    <sheet name="Dados brutos relatório" sheetId="8" state="hidden" r:id="rId15"/>
    <sheet name="Biomassa" sheetId="7" state="hidden" r:id="rId16"/>
    <sheet name="Planilha1" sheetId="5" state="hidden" r:id="rId17"/>
    <sheet name="Densidade média por espécie" sheetId="2" state="hidden" r:id="rId18"/>
    <sheet name="Com equações" sheetId="6" state="hidden" r:id="rId19"/>
    <sheet name="Gui Mores" sheetId="3" state="hidden" r:id="rId20"/>
  </sheets>
  <definedNames>
    <definedName name="_xlnm._FilterDatabase" localSheetId="0" hidden="1">'Dados BRUTOS'!$A$1:$J$180</definedName>
    <definedName name="_xlnm._FilterDatabase" localSheetId="1" hidden="1">'Dados brutos R'!$A$1:$R$179</definedName>
    <definedName name="_xlnm._FilterDatabase" localSheetId="19" hidden="1">'Gui Mores'!$A$1:$Q$46</definedName>
    <definedName name="_xlnm._FilterDatabase" localSheetId="4" hidden="1">Objetivo_a_R!$A$1:$D$315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3" l="1"/>
  <c r="O4" i="13"/>
  <c r="O5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101" i="13"/>
  <c r="O102" i="13"/>
  <c r="O103" i="13"/>
  <c r="O104" i="13"/>
  <c r="O106" i="13"/>
  <c r="O107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30" i="13"/>
  <c r="O133" i="13"/>
  <c r="O134" i="13"/>
  <c r="O139" i="13"/>
  <c r="O140" i="13"/>
  <c r="O141" i="13"/>
  <c r="O142" i="13"/>
  <c r="O143" i="13"/>
  <c r="O144" i="13"/>
  <c r="O145" i="13"/>
  <c r="O148" i="13"/>
  <c r="O150" i="13"/>
  <c r="O151" i="13"/>
  <c r="O152" i="13"/>
  <c r="O153" i="13"/>
  <c r="O154" i="13"/>
  <c r="O155" i="13"/>
  <c r="O156" i="13"/>
  <c r="O157" i="13"/>
  <c r="O158" i="13"/>
  <c r="O159" i="13"/>
  <c r="O160" i="13"/>
  <c r="O162" i="13"/>
  <c r="O163" i="13"/>
  <c r="O164" i="13"/>
  <c r="O165" i="13"/>
  <c r="O167" i="13"/>
  <c r="O168" i="13"/>
  <c r="O169" i="13"/>
  <c r="O170" i="13"/>
  <c r="O171" i="13"/>
  <c r="O172" i="13"/>
  <c r="O173" i="13"/>
  <c r="N3" i="13"/>
  <c r="N4" i="13"/>
  <c r="N5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101" i="13"/>
  <c r="N102" i="13"/>
  <c r="N103" i="13"/>
  <c r="N104" i="13"/>
  <c r="N106" i="13"/>
  <c r="N107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30" i="13"/>
  <c r="N133" i="13"/>
  <c r="N134" i="13"/>
  <c r="N139" i="13"/>
  <c r="N140" i="13"/>
  <c r="N141" i="13"/>
  <c r="N142" i="13"/>
  <c r="N143" i="13"/>
  <c r="N144" i="13"/>
  <c r="N145" i="13"/>
  <c r="N148" i="13"/>
  <c r="N150" i="13"/>
  <c r="N151" i="13"/>
  <c r="N152" i="13"/>
  <c r="N153" i="13"/>
  <c r="N154" i="13"/>
  <c r="N155" i="13"/>
  <c r="N156" i="13"/>
  <c r="N157" i="13"/>
  <c r="N158" i="13"/>
  <c r="N159" i="13"/>
  <c r="N160" i="13"/>
  <c r="N162" i="13"/>
  <c r="N163" i="13"/>
  <c r="N164" i="13"/>
  <c r="N165" i="13"/>
  <c r="N167" i="13"/>
  <c r="N168" i="13"/>
  <c r="N169" i="13"/>
  <c r="N170" i="13"/>
  <c r="N171" i="13"/>
  <c r="N172" i="13"/>
  <c r="N173" i="13"/>
  <c r="N2" i="13"/>
  <c r="O2" i="13"/>
  <c r="L2" i="13"/>
  <c r="K2" i="13"/>
  <c r="L173" i="13"/>
  <c r="K173" i="13"/>
  <c r="L172" i="13"/>
  <c r="K172" i="13"/>
  <c r="L171" i="13"/>
  <c r="K171" i="13"/>
  <c r="L170" i="13"/>
  <c r="K170" i="13"/>
  <c r="L169" i="13"/>
  <c r="K169" i="13"/>
  <c r="L168" i="13"/>
  <c r="K168" i="13"/>
  <c r="L167" i="13"/>
  <c r="K167" i="13"/>
  <c r="H166" i="13"/>
  <c r="L166" i="13" s="1"/>
  <c r="L165" i="13"/>
  <c r="K165" i="13"/>
  <c r="L164" i="13"/>
  <c r="K164" i="13"/>
  <c r="L163" i="13"/>
  <c r="K163" i="13"/>
  <c r="L162" i="13"/>
  <c r="K162" i="13"/>
  <c r="H161" i="13"/>
  <c r="O161" i="13" s="1"/>
  <c r="L160" i="13"/>
  <c r="K160" i="13"/>
  <c r="L159" i="13"/>
  <c r="K159" i="13"/>
  <c r="L158" i="13"/>
  <c r="K158" i="13"/>
  <c r="L157" i="13"/>
  <c r="K157" i="13"/>
  <c r="L156" i="13"/>
  <c r="K156" i="13"/>
  <c r="L155" i="13"/>
  <c r="K155" i="13"/>
  <c r="L154" i="13"/>
  <c r="K154" i="13"/>
  <c r="L153" i="13"/>
  <c r="K153" i="13"/>
  <c r="L152" i="13"/>
  <c r="K152" i="13"/>
  <c r="L151" i="13"/>
  <c r="K151" i="13"/>
  <c r="L150" i="13"/>
  <c r="K150" i="13"/>
  <c r="H149" i="13"/>
  <c r="L149" i="13" s="1"/>
  <c r="L148" i="13"/>
  <c r="K148" i="13"/>
  <c r="H147" i="13"/>
  <c r="K147" i="13" s="1"/>
  <c r="H146" i="13"/>
  <c r="L146" i="13" s="1"/>
  <c r="L145" i="13"/>
  <c r="K145" i="13"/>
  <c r="L144" i="13"/>
  <c r="K144" i="13"/>
  <c r="L143" i="13"/>
  <c r="K143" i="13"/>
  <c r="L142" i="13"/>
  <c r="K142" i="13"/>
  <c r="L141" i="13"/>
  <c r="K141" i="13"/>
  <c r="L140" i="13"/>
  <c r="K140" i="13"/>
  <c r="L139" i="13"/>
  <c r="K139" i="13"/>
  <c r="H138" i="13"/>
  <c r="L138" i="13" s="1"/>
  <c r="H137" i="13"/>
  <c r="L137" i="13" s="1"/>
  <c r="H136" i="13"/>
  <c r="O136" i="13" s="1"/>
  <c r="H135" i="13"/>
  <c r="N135" i="13" s="1"/>
  <c r="L134" i="13"/>
  <c r="K134" i="13"/>
  <c r="L133" i="13"/>
  <c r="K133" i="13"/>
  <c r="H132" i="13"/>
  <c r="K132" i="13" s="1"/>
  <c r="H131" i="13"/>
  <c r="L131" i="13" s="1"/>
  <c r="L130" i="13"/>
  <c r="K130" i="13"/>
  <c r="H129" i="13"/>
  <c r="K129" i="13" s="1"/>
  <c r="H128" i="13"/>
  <c r="L128" i="13" s="1"/>
  <c r="L127" i="13"/>
  <c r="K127" i="13"/>
  <c r="L126" i="13"/>
  <c r="K126" i="13"/>
  <c r="L125" i="13"/>
  <c r="K125" i="13"/>
  <c r="L124" i="13"/>
  <c r="K124" i="13"/>
  <c r="L123" i="13"/>
  <c r="K123" i="13"/>
  <c r="L122" i="13"/>
  <c r="K122" i="13"/>
  <c r="L121" i="13"/>
  <c r="K121" i="13"/>
  <c r="L120" i="13"/>
  <c r="K120" i="13"/>
  <c r="L119" i="13"/>
  <c r="K119" i="13"/>
  <c r="L118" i="13"/>
  <c r="K118" i="13"/>
  <c r="L117" i="13"/>
  <c r="K117" i="13"/>
  <c r="L116" i="13"/>
  <c r="K116" i="13"/>
  <c r="L115" i="13"/>
  <c r="K115" i="13"/>
  <c r="L114" i="13"/>
  <c r="K114" i="13"/>
  <c r="L113" i="13"/>
  <c r="K113" i="13"/>
  <c r="L112" i="13"/>
  <c r="K112" i="13"/>
  <c r="L111" i="13"/>
  <c r="K111" i="13"/>
  <c r="L110" i="13"/>
  <c r="K110" i="13"/>
  <c r="L109" i="13"/>
  <c r="K109" i="13"/>
  <c r="H108" i="13"/>
  <c r="K108" i="13" s="1"/>
  <c r="L107" i="13"/>
  <c r="K107" i="13"/>
  <c r="L106" i="13"/>
  <c r="K106" i="13"/>
  <c r="H105" i="13"/>
  <c r="L105" i="13" s="1"/>
  <c r="L104" i="13"/>
  <c r="K104" i="13"/>
  <c r="L103" i="13"/>
  <c r="K103" i="13"/>
  <c r="L102" i="13"/>
  <c r="K102" i="13"/>
  <c r="L101" i="13"/>
  <c r="K101" i="13"/>
  <c r="H100" i="13"/>
  <c r="K100" i="13" s="1"/>
  <c r="H99" i="13"/>
  <c r="N99" i="13" s="1"/>
  <c r="L98" i="13"/>
  <c r="K98" i="13"/>
  <c r="L97" i="13"/>
  <c r="K97" i="13"/>
  <c r="L96" i="13"/>
  <c r="K96" i="13"/>
  <c r="L95" i="13"/>
  <c r="K95" i="13"/>
  <c r="L94" i="13"/>
  <c r="K94" i="13"/>
  <c r="L93" i="13"/>
  <c r="K93" i="13"/>
  <c r="L92" i="13"/>
  <c r="K92" i="13"/>
  <c r="L91" i="13"/>
  <c r="K91" i="13"/>
  <c r="L90" i="13"/>
  <c r="K90" i="13"/>
  <c r="L89" i="13"/>
  <c r="K89" i="13"/>
  <c r="L88" i="13"/>
  <c r="K88" i="13"/>
  <c r="L87" i="13"/>
  <c r="K87" i="13"/>
  <c r="L86" i="13"/>
  <c r="K86" i="13"/>
  <c r="H85" i="13"/>
  <c r="K85" i="13" s="1"/>
  <c r="H84" i="13"/>
  <c r="O84" i="13" s="1"/>
  <c r="H83" i="13"/>
  <c r="K83" i="13" s="1"/>
  <c r="L82" i="13"/>
  <c r="K82" i="13"/>
  <c r="L81" i="13"/>
  <c r="K81" i="13"/>
  <c r="L80" i="13"/>
  <c r="K80" i="13"/>
  <c r="L79" i="13"/>
  <c r="K79" i="13"/>
  <c r="L78" i="13"/>
  <c r="K78" i="13"/>
  <c r="L77" i="13"/>
  <c r="K77" i="13"/>
  <c r="L76" i="13"/>
  <c r="K76" i="13"/>
  <c r="L75" i="13"/>
  <c r="K75" i="13"/>
  <c r="L74" i="13"/>
  <c r="K74" i="13"/>
  <c r="L73" i="13"/>
  <c r="K73" i="13"/>
  <c r="L72" i="13"/>
  <c r="K72" i="13"/>
  <c r="L71" i="13"/>
  <c r="K71" i="13"/>
  <c r="L70" i="13"/>
  <c r="K70" i="13"/>
  <c r="L69" i="13"/>
  <c r="K69" i="13"/>
  <c r="L68" i="13"/>
  <c r="K68" i="13"/>
  <c r="L67" i="13"/>
  <c r="K67" i="13"/>
  <c r="L66" i="13"/>
  <c r="K66" i="13"/>
  <c r="L65" i="13"/>
  <c r="K65" i="13"/>
  <c r="L64" i="13"/>
  <c r="K64" i="13"/>
  <c r="L63" i="13"/>
  <c r="K63" i="13"/>
  <c r="L62" i="13"/>
  <c r="K62" i="13"/>
  <c r="L61" i="13"/>
  <c r="K61" i="13"/>
  <c r="L60" i="13"/>
  <c r="K60" i="13"/>
  <c r="L59" i="13"/>
  <c r="K59" i="13"/>
  <c r="L58" i="13"/>
  <c r="K58" i="13"/>
  <c r="L57" i="13"/>
  <c r="K57" i="13"/>
  <c r="L56" i="13"/>
  <c r="K56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H6" i="13"/>
  <c r="L6" i="13" s="1"/>
  <c r="L5" i="13"/>
  <c r="K5" i="13"/>
  <c r="L4" i="13"/>
  <c r="K4" i="13"/>
  <c r="L3" i="13"/>
  <c r="K3" i="13"/>
  <c r="D142" i="9"/>
  <c r="C142" i="9"/>
  <c r="D134" i="9"/>
  <c r="C134" i="9"/>
  <c r="D125" i="9"/>
  <c r="C125" i="9"/>
  <c r="D110" i="9"/>
  <c r="D114" i="9"/>
  <c r="C114" i="9"/>
  <c r="C110" i="9"/>
  <c r="D108" i="9"/>
  <c r="C108" i="9"/>
  <c r="D104" i="9"/>
  <c r="C104" i="9"/>
  <c r="D97" i="9"/>
  <c r="C97" i="9"/>
  <c r="D94" i="9"/>
  <c r="C94" i="9"/>
  <c r="D87" i="9"/>
  <c r="C87" i="9"/>
  <c r="D84" i="9"/>
  <c r="D82" i="9"/>
  <c r="C82" i="9"/>
  <c r="D78" i="9"/>
  <c r="C78" i="9"/>
  <c r="D76" i="9"/>
  <c r="C76" i="9"/>
  <c r="D57" i="9"/>
  <c r="C57" i="9"/>
  <c r="D56" i="9"/>
  <c r="D49" i="9"/>
  <c r="C49" i="9"/>
  <c r="D43" i="9"/>
  <c r="C43" i="9"/>
  <c r="D40" i="9"/>
  <c r="C40" i="9"/>
  <c r="D36" i="9"/>
  <c r="C36" i="9"/>
  <c r="D34" i="9"/>
  <c r="C34" i="9"/>
  <c r="D30" i="9"/>
  <c r="C30" i="9"/>
  <c r="D26" i="9"/>
  <c r="C26" i="9"/>
  <c r="D20" i="9"/>
  <c r="C20" i="9"/>
  <c r="D11" i="9"/>
  <c r="D3" i="9"/>
  <c r="D2" i="9"/>
  <c r="C11" i="9"/>
  <c r="C3" i="9"/>
  <c r="K56" i="8"/>
  <c r="L56" i="8"/>
  <c r="K57" i="8"/>
  <c r="L57" i="8"/>
  <c r="K58" i="8"/>
  <c r="L58" i="8"/>
  <c r="K47" i="8"/>
  <c r="L47" i="8"/>
  <c r="K48" i="8"/>
  <c r="L48" i="8"/>
  <c r="K49" i="8"/>
  <c r="L49" i="8"/>
  <c r="K50" i="8"/>
  <c r="L50" i="8"/>
  <c r="K51" i="8"/>
  <c r="L51" i="8"/>
  <c r="K52" i="8"/>
  <c r="L52" i="8"/>
  <c r="K174" i="8"/>
  <c r="L174" i="8"/>
  <c r="K175" i="8"/>
  <c r="L175" i="8"/>
  <c r="K176" i="8"/>
  <c r="L176" i="8"/>
  <c r="K177" i="8"/>
  <c r="L177" i="8"/>
  <c r="K178" i="8"/>
  <c r="L178" i="8"/>
  <c r="K179" i="8"/>
  <c r="L179" i="8"/>
  <c r="K93" i="8"/>
  <c r="L93" i="8"/>
  <c r="K94" i="8"/>
  <c r="L94" i="8"/>
  <c r="K95" i="8"/>
  <c r="L95" i="8"/>
  <c r="K96" i="8"/>
  <c r="L96" i="8"/>
  <c r="K97" i="8"/>
  <c r="L97" i="8"/>
  <c r="K98" i="8"/>
  <c r="L98" i="8"/>
  <c r="K29" i="8"/>
  <c r="L29" i="8"/>
  <c r="K30" i="8"/>
  <c r="L30" i="8"/>
  <c r="K31" i="8"/>
  <c r="L31" i="8"/>
  <c r="K32" i="8"/>
  <c r="L32" i="8"/>
  <c r="K33" i="8"/>
  <c r="L33" i="8"/>
  <c r="K34" i="8"/>
  <c r="L34" i="8"/>
  <c r="K14" i="8"/>
  <c r="L14" i="8"/>
  <c r="K15" i="8"/>
  <c r="L15" i="8"/>
  <c r="K16" i="8"/>
  <c r="L16" i="8"/>
  <c r="K17" i="8"/>
  <c r="L17" i="8"/>
  <c r="K109" i="8"/>
  <c r="L109" i="8"/>
  <c r="K110" i="8"/>
  <c r="L110" i="8"/>
  <c r="K111" i="8"/>
  <c r="L111" i="8"/>
  <c r="K112" i="8"/>
  <c r="L112" i="8"/>
  <c r="K113" i="8"/>
  <c r="L113" i="8"/>
  <c r="K114" i="8"/>
  <c r="L114" i="8"/>
  <c r="K18" i="8"/>
  <c r="L18" i="8"/>
  <c r="K19" i="8"/>
  <c r="L19" i="8"/>
  <c r="K20" i="8"/>
  <c r="L20" i="8"/>
  <c r="K21" i="8"/>
  <c r="L21" i="8"/>
  <c r="K22" i="8"/>
  <c r="L22" i="8"/>
  <c r="K23" i="8"/>
  <c r="L23" i="8"/>
  <c r="K104" i="8"/>
  <c r="L104" i="8"/>
  <c r="K106" i="8"/>
  <c r="L106" i="8"/>
  <c r="K107" i="8"/>
  <c r="L107" i="8"/>
  <c r="K157" i="8"/>
  <c r="L157" i="8"/>
  <c r="K158" i="8"/>
  <c r="L158" i="8"/>
  <c r="K159" i="8"/>
  <c r="L159" i="8"/>
  <c r="K160" i="8"/>
  <c r="L160" i="8"/>
  <c r="K168" i="8"/>
  <c r="L168" i="8"/>
  <c r="K169" i="8"/>
  <c r="L169" i="8"/>
  <c r="K170" i="8"/>
  <c r="L170" i="8"/>
  <c r="K171" i="8"/>
  <c r="L171" i="8"/>
  <c r="K173" i="8"/>
  <c r="L173" i="8"/>
  <c r="K134" i="8"/>
  <c r="L134" i="8"/>
  <c r="K139" i="8"/>
  <c r="L139" i="8"/>
  <c r="K87" i="8"/>
  <c r="L87" i="8"/>
  <c r="K88" i="8"/>
  <c r="L88" i="8"/>
  <c r="K89" i="8"/>
  <c r="L89" i="8"/>
  <c r="K90" i="8"/>
  <c r="L90" i="8"/>
  <c r="K91" i="8"/>
  <c r="L91" i="8"/>
  <c r="K92" i="8"/>
  <c r="L92" i="8"/>
  <c r="K2" i="8"/>
  <c r="L2" i="8"/>
  <c r="K3" i="8"/>
  <c r="L3" i="8"/>
  <c r="K4" i="8"/>
  <c r="L4" i="8"/>
  <c r="K5" i="8"/>
  <c r="L5" i="8"/>
  <c r="L6" i="8"/>
  <c r="K7" i="8"/>
  <c r="L7" i="8"/>
  <c r="K162" i="8"/>
  <c r="L162" i="8"/>
  <c r="K163" i="8"/>
  <c r="L163" i="8"/>
  <c r="K164" i="8"/>
  <c r="L164" i="8"/>
  <c r="K148" i="8"/>
  <c r="L148" i="8"/>
  <c r="K150" i="8"/>
  <c r="L150" i="8"/>
  <c r="K151" i="8"/>
  <c r="L151" i="8"/>
  <c r="K41" i="8"/>
  <c r="L41" i="8"/>
  <c r="K42" i="8"/>
  <c r="L42" i="8"/>
  <c r="K43" i="8"/>
  <c r="L43" i="8"/>
  <c r="K44" i="8"/>
  <c r="L44" i="8"/>
  <c r="K45" i="8"/>
  <c r="L45" i="8"/>
  <c r="K46" i="8"/>
  <c r="L46" i="8"/>
  <c r="K35" i="8"/>
  <c r="L35" i="8"/>
  <c r="K36" i="8"/>
  <c r="L36" i="8"/>
  <c r="K37" i="8"/>
  <c r="L37" i="8"/>
  <c r="K38" i="8"/>
  <c r="L38" i="8"/>
  <c r="K39" i="8"/>
  <c r="L39" i="8"/>
  <c r="K40" i="8"/>
  <c r="L40" i="8"/>
  <c r="K76" i="8"/>
  <c r="L76" i="8"/>
  <c r="K77" i="8"/>
  <c r="L77" i="8"/>
  <c r="K78" i="8"/>
  <c r="L78" i="8"/>
  <c r="K79" i="8"/>
  <c r="L79" i="8"/>
  <c r="K80" i="8"/>
  <c r="L80" i="8"/>
  <c r="K81" i="8"/>
  <c r="L81" i="8"/>
  <c r="K101" i="8"/>
  <c r="L101" i="8"/>
  <c r="K102" i="8"/>
  <c r="L102" i="8"/>
  <c r="K103" i="8"/>
  <c r="L103" i="8"/>
  <c r="K115" i="8"/>
  <c r="L115" i="8"/>
  <c r="K116" i="8"/>
  <c r="L116" i="8"/>
  <c r="K117" i="8"/>
  <c r="L117" i="8"/>
  <c r="K140" i="8"/>
  <c r="L140" i="8"/>
  <c r="K141" i="8"/>
  <c r="L141" i="8"/>
  <c r="K142" i="8"/>
  <c r="L142" i="8"/>
  <c r="K143" i="8"/>
  <c r="L143" i="8"/>
  <c r="K144" i="8"/>
  <c r="L144" i="8"/>
  <c r="K145" i="8"/>
  <c r="L145" i="8"/>
  <c r="K152" i="8"/>
  <c r="L152" i="8"/>
  <c r="K153" i="8"/>
  <c r="L153" i="8"/>
  <c r="K154" i="8"/>
  <c r="L154" i="8"/>
  <c r="K155" i="8"/>
  <c r="L155" i="8"/>
  <c r="K156" i="8"/>
  <c r="L156" i="8"/>
  <c r="K70" i="8"/>
  <c r="L70" i="8"/>
  <c r="K71" i="8"/>
  <c r="L71" i="8"/>
  <c r="K72" i="8"/>
  <c r="L72" i="8"/>
  <c r="K73" i="8"/>
  <c r="L73" i="8"/>
  <c r="K74" i="8"/>
  <c r="L74" i="8"/>
  <c r="K75" i="8"/>
  <c r="L75" i="8"/>
  <c r="K8" i="8"/>
  <c r="L8" i="8"/>
  <c r="K9" i="8"/>
  <c r="L9" i="8"/>
  <c r="K10" i="8"/>
  <c r="L10" i="8"/>
  <c r="K11" i="8"/>
  <c r="L11" i="8"/>
  <c r="K12" i="8"/>
  <c r="L12" i="8"/>
  <c r="K13" i="8"/>
  <c r="L13" i="8"/>
  <c r="K124" i="8"/>
  <c r="L124" i="8"/>
  <c r="K125" i="8"/>
  <c r="L125" i="8"/>
  <c r="K126" i="8"/>
  <c r="L126" i="8"/>
  <c r="K127" i="8"/>
  <c r="L127" i="8"/>
  <c r="K59" i="8"/>
  <c r="L59" i="8"/>
  <c r="K60" i="8"/>
  <c r="L60" i="8"/>
  <c r="K61" i="8"/>
  <c r="L61" i="8"/>
  <c r="K62" i="8"/>
  <c r="L62" i="8"/>
  <c r="K63" i="8"/>
  <c r="L63" i="8"/>
  <c r="K64" i="8"/>
  <c r="L64" i="8"/>
  <c r="K82" i="8"/>
  <c r="L82" i="8"/>
  <c r="K85" i="8"/>
  <c r="K86" i="8"/>
  <c r="L86" i="8"/>
  <c r="K65" i="8"/>
  <c r="L65" i="8"/>
  <c r="K66" i="8"/>
  <c r="L66" i="8"/>
  <c r="K67" i="8"/>
  <c r="L67" i="8"/>
  <c r="K68" i="8"/>
  <c r="L68" i="8"/>
  <c r="K69" i="8"/>
  <c r="L69" i="8"/>
  <c r="K24" i="8"/>
  <c r="L24" i="8"/>
  <c r="K25" i="8"/>
  <c r="L25" i="8"/>
  <c r="K26" i="8"/>
  <c r="L26" i="8"/>
  <c r="K27" i="8"/>
  <c r="L27" i="8"/>
  <c r="K28" i="8"/>
  <c r="L28" i="8"/>
  <c r="K130" i="8"/>
  <c r="L130" i="8"/>
  <c r="K133" i="8"/>
  <c r="L133" i="8"/>
  <c r="K119" i="8"/>
  <c r="L119" i="8"/>
  <c r="K120" i="8"/>
  <c r="L120" i="8"/>
  <c r="K121" i="8"/>
  <c r="L121" i="8"/>
  <c r="K122" i="8"/>
  <c r="L122" i="8"/>
  <c r="K123" i="8"/>
  <c r="L123" i="8"/>
  <c r="K53" i="8"/>
  <c r="L53" i="8"/>
  <c r="K54" i="8"/>
  <c r="L54" i="8"/>
  <c r="K55" i="8"/>
  <c r="L55" i="8"/>
  <c r="H132" i="8"/>
  <c r="K132" i="8" s="1"/>
  <c r="H131" i="8"/>
  <c r="H129" i="8"/>
  <c r="H85" i="8"/>
  <c r="L85" i="8" s="1"/>
  <c r="H84" i="8"/>
  <c r="K84" i="8" s="1"/>
  <c r="H83" i="8"/>
  <c r="H128" i="8"/>
  <c r="H100" i="8"/>
  <c r="L100" i="8" s="1"/>
  <c r="H99" i="8"/>
  <c r="K99" i="8" s="1"/>
  <c r="H149" i="8"/>
  <c r="H147" i="8"/>
  <c r="H146" i="8"/>
  <c r="K146" i="8" s="1"/>
  <c r="H167" i="8"/>
  <c r="L167" i="8" s="1"/>
  <c r="H166" i="8"/>
  <c r="H165" i="8"/>
  <c r="H6" i="8"/>
  <c r="K6" i="8" s="1"/>
  <c r="H138" i="8"/>
  <c r="K138" i="8" s="1"/>
  <c r="H137" i="8"/>
  <c r="H136" i="8"/>
  <c r="H135" i="8"/>
  <c r="L135" i="8" s="1"/>
  <c r="H172" i="8"/>
  <c r="K172" i="8" s="1"/>
  <c r="H161" i="8"/>
  <c r="H108" i="8"/>
  <c r="H105" i="8"/>
  <c r="L105" i="8" s="1"/>
  <c r="L118" i="8"/>
  <c r="K118" i="8"/>
  <c r="R179" i="4"/>
  <c r="Q179" i="4"/>
  <c r="P179" i="4"/>
  <c r="O179" i="4"/>
  <c r="N179" i="4"/>
  <c r="M179" i="4"/>
  <c r="L179" i="4"/>
  <c r="K179" i="4"/>
  <c r="H178" i="4"/>
  <c r="H177" i="4"/>
  <c r="O177" i="4" s="1"/>
  <c r="R176" i="4"/>
  <c r="Q176" i="4"/>
  <c r="P176" i="4"/>
  <c r="O176" i="4"/>
  <c r="N176" i="4"/>
  <c r="M176" i="4"/>
  <c r="L176" i="4"/>
  <c r="K176" i="4"/>
  <c r="H175" i="4"/>
  <c r="R175" i="4" s="1"/>
  <c r="R174" i="4"/>
  <c r="Q174" i="4"/>
  <c r="P174" i="4"/>
  <c r="O174" i="4"/>
  <c r="N174" i="4"/>
  <c r="M174" i="4"/>
  <c r="L174" i="4"/>
  <c r="K174" i="4"/>
  <c r="R173" i="4"/>
  <c r="Q173" i="4"/>
  <c r="P173" i="4"/>
  <c r="O173" i="4"/>
  <c r="N173" i="4"/>
  <c r="M173" i="4"/>
  <c r="L173" i="4"/>
  <c r="K173" i="4"/>
  <c r="R172" i="4"/>
  <c r="Q172" i="4"/>
  <c r="P172" i="4"/>
  <c r="O172" i="4"/>
  <c r="N172" i="4"/>
  <c r="M172" i="4"/>
  <c r="L172" i="4"/>
  <c r="K172" i="4"/>
  <c r="R171" i="4"/>
  <c r="Q171" i="4"/>
  <c r="P171" i="4"/>
  <c r="O171" i="4"/>
  <c r="N171" i="4"/>
  <c r="M171" i="4"/>
  <c r="L171" i="4"/>
  <c r="K171" i="4"/>
  <c r="R170" i="4"/>
  <c r="Q170" i="4"/>
  <c r="P170" i="4"/>
  <c r="O170" i="4"/>
  <c r="N170" i="4"/>
  <c r="M170" i="4"/>
  <c r="L170" i="4"/>
  <c r="K170" i="4"/>
  <c r="R169" i="4"/>
  <c r="Q169" i="4"/>
  <c r="P169" i="4"/>
  <c r="O169" i="4"/>
  <c r="N169" i="4"/>
  <c r="M169" i="4"/>
  <c r="L169" i="4"/>
  <c r="K169" i="4"/>
  <c r="R168" i="4"/>
  <c r="Q168" i="4"/>
  <c r="P168" i="4"/>
  <c r="O168" i="4"/>
  <c r="N168" i="4"/>
  <c r="M168" i="4"/>
  <c r="L168" i="4"/>
  <c r="K168" i="4"/>
  <c r="R167" i="4"/>
  <c r="Q167" i="4"/>
  <c r="P167" i="4"/>
  <c r="O167" i="4"/>
  <c r="N167" i="4"/>
  <c r="M167" i="4"/>
  <c r="L167" i="4"/>
  <c r="K167" i="4"/>
  <c r="R166" i="4"/>
  <c r="Q166" i="4"/>
  <c r="P166" i="4"/>
  <c r="O166" i="4"/>
  <c r="N166" i="4"/>
  <c r="M166" i="4"/>
  <c r="L166" i="4"/>
  <c r="K166" i="4"/>
  <c r="R165" i="4"/>
  <c r="Q165" i="4"/>
  <c r="P165" i="4"/>
  <c r="O165" i="4"/>
  <c r="N165" i="4"/>
  <c r="M165" i="4"/>
  <c r="L165" i="4"/>
  <c r="K165" i="4"/>
  <c r="R164" i="4"/>
  <c r="Q164" i="4"/>
  <c r="P164" i="4"/>
  <c r="O164" i="4"/>
  <c r="N164" i="4"/>
  <c r="M164" i="4"/>
  <c r="L164" i="4"/>
  <c r="K164" i="4"/>
  <c r="H163" i="4"/>
  <c r="P163" i="4" s="1"/>
  <c r="H162" i="4"/>
  <c r="H161" i="4"/>
  <c r="R161" i="4" s="1"/>
  <c r="R160" i="4"/>
  <c r="Q160" i="4"/>
  <c r="P160" i="4"/>
  <c r="O160" i="4"/>
  <c r="N160" i="4"/>
  <c r="M160" i="4"/>
  <c r="L160" i="4"/>
  <c r="K160" i="4"/>
  <c r="R159" i="4"/>
  <c r="Q159" i="4"/>
  <c r="P159" i="4"/>
  <c r="O159" i="4"/>
  <c r="N159" i="4"/>
  <c r="M159" i="4"/>
  <c r="L159" i="4"/>
  <c r="K159" i="4"/>
  <c r="R158" i="4"/>
  <c r="Q158" i="4"/>
  <c r="P158" i="4"/>
  <c r="O158" i="4"/>
  <c r="N158" i="4"/>
  <c r="M158" i="4"/>
  <c r="L158" i="4"/>
  <c r="K158" i="4"/>
  <c r="R157" i="4"/>
  <c r="Q157" i="4"/>
  <c r="P157" i="4"/>
  <c r="O157" i="4"/>
  <c r="N157" i="4"/>
  <c r="M157" i="4"/>
  <c r="L157" i="4"/>
  <c r="K157" i="4"/>
  <c r="R156" i="4"/>
  <c r="Q156" i="4"/>
  <c r="P156" i="4"/>
  <c r="O156" i="4"/>
  <c r="N156" i="4"/>
  <c r="M156" i="4"/>
  <c r="L156" i="4"/>
  <c r="K156" i="4"/>
  <c r="R155" i="4"/>
  <c r="Q155" i="4"/>
  <c r="P155" i="4"/>
  <c r="O155" i="4"/>
  <c r="N155" i="4"/>
  <c r="M155" i="4"/>
  <c r="L155" i="4"/>
  <c r="K155" i="4"/>
  <c r="R154" i="4"/>
  <c r="Q154" i="4"/>
  <c r="P154" i="4"/>
  <c r="O154" i="4"/>
  <c r="N154" i="4"/>
  <c r="M154" i="4"/>
  <c r="L154" i="4"/>
  <c r="K154" i="4"/>
  <c r="H153" i="4"/>
  <c r="R152" i="4"/>
  <c r="Q152" i="4"/>
  <c r="P152" i="4"/>
  <c r="O152" i="4"/>
  <c r="N152" i="4"/>
  <c r="M152" i="4"/>
  <c r="L152" i="4"/>
  <c r="K152" i="4"/>
  <c r="R151" i="4"/>
  <c r="Q151" i="4"/>
  <c r="P151" i="4"/>
  <c r="O151" i="4"/>
  <c r="N151" i="4"/>
  <c r="M151" i="4"/>
  <c r="L151" i="4"/>
  <c r="K151" i="4"/>
  <c r="R150" i="4"/>
  <c r="Q150" i="4"/>
  <c r="P150" i="4"/>
  <c r="O150" i="4"/>
  <c r="N150" i="4"/>
  <c r="M150" i="4"/>
  <c r="L150" i="4"/>
  <c r="K150" i="4"/>
  <c r="R149" i="4"/>
  <c r="Q149" i="4"/>
  <c r="P149" i="4"/>
  <c r="O149" i="4"/>
  <c r="N149" i="4"/>
  <c r="M149" i="4"/>
  <c r="L149" i="4"/>
  <c r="K149" i="4"/>
  <c r="R148" i="4"/>
  <c r="Q148" i="4"/>
  <c r="P148" i="4"/>
  <c r="O148" i="4"/>
  <c r="N148" i="4"/>
  <c r="M148" i="4"/>
  <c r="L148" i="4"/>
  <c r="K148" i="4"/>
  <c r="R147" i="4"/>
  <c r="Q147" i="4"/>
  <c r="P147" i="4"/>
  <c r="O147" i="4"/>
  <c r="N147" i="4"/>
  <c r="M147" i="4"/>
  <c r="L147" i="4"/>
  <c r="K147" i="4"/>
  <c r="R146" i="4"/>
  <c r="Q146" i="4"/>
  <c r="P146" i="4"/>
  <c r="O146" i="4"/>
  <c r="N146" i="4"/>
  <c r="M146" i="4"/>
  <c r="L146" i="4"/>
  <c r="K146" i="4"/>
  <c r="R145" i="4"/>
  <c r="Q145" i="4"/>
  <c r="P145" i="4"/>
  <c r="O145" i="4"/>
  <c r="N145" i="4"/>
  <c r="M145" i="4"/>
  <c r="L145" i="4"/>
  <c r="K145" i="4"/>
  <c r="R144" i="4"/>
  <c r="Q144" i="4"/>
  <c r="P144" i="4"/>
  <c r="O144" i="4"/>
  <c r="N144" i="4"/>
  <c r="M144" i="4"/>
  <c r="L144" i="4"/>
  <c r="K144" i="4"/>
  <c r="R143" i="4"/>
  <c r="Q143" i="4"/>
  <c r="P143" i="4"/>
  <c r="O143" i="4"/>
  <c r="N143" i="4"/>
  <c r="M143" i="4"/>
  <c r="L143" i="4"/>
  <c r="K143" i="4"/>
  <c r="R142" i="4"/>
  <c r="Q142" i="4"/>
  <c r="P142" i="4"/>
  <c r="O142" i="4"/>
  <c r="N142" i="4"/>
  <c r="M142" i="4"/>
  <c r="L142" i="4"/>
  <c r="K142" i="4"/>
  <c r="R141" i="4"/>
  <c r="Q141" i="4"/>
  <c r="P141" i="4"/>
  <c r="O141" i="4"/>
  <c r="N141" i="4"/>
  <c r="M141" i="4"/>
  <c r="L141" i="4"/>
  <c r="K141" i="4"/>
  <c r="R140" i="4"/>
  <c r="Q140" i="4"/>
  <c r="P140" i="4"/>
  <c r="O140" i="4"/>
  <c r="N140" i="4"/>
  <c r="M140" i="4"/>
  <c r="L140" i="4"/>
  <c r="K140" i="4"/>
  <c r="R139" i="4"/>
  <c r="Q139" i="4"/>
  <c r="P139" i="4"/>
  <c r="O139" i="4"/>
  <c r="N139" i="4"/>
  <c r="M139" i="4"/>
  <c r="L139" i="4"/>
  <c r="K139" i="4"/>
  <c r="R138" i="4"/>
  <c r="Q138" i="4"/>
  <c r="P138" i="4"/>
  <c r="O138" i="4"/>
  <c r="N138" i="4"/>
  <c r="M138" i="4"/>
  <c r="L138" i="4"/>
  <c r="K138" i="4"/>
  <c r="R137" i="4"/>
  <c r="Q137" i="4"/>
  <c r="P137" i="4"/>
  <c r="O137" i="4"/>
  <c r="N137" i="4"/>
  <c r="M137" i="4"/>
  <c r="L137" i="4"/>
  <c r="K137" i="4"/>
  <c r="R136" i="4"/>
  <c r="Q136" i="4"/>
  <c r="P136" i="4"/>
  <c r="O136" i="4"/>
  <c r="N136" i="4"/>
  <c r="M136" i="4"/>
  <c r="L136" i="4"/>
  <c r="K136" i="4"/>
  <c r="R135" i="4"/>
  <c r="Q135" i="4"/>
  <c r="P135" i="4"/>
  <c r="O135" i="4"/>
  <c r="N135" i="4"/>
  <c r="M135" i="4"/>
  <c r="L135" i="4"/>
  <c r="K135" i="4"/>
  <c r="R134" i="4"/>
  <c r="Q134" i="4"/>
  <c r="P134" i="4"/>
  <c r="O134" i="4"/>
  <c r="N134" i="4"/>
  <c r="M134" i="4"/>
  <c r="L134" i="4"/>
  <c r="K134" i="4"/>
  <c r="R133" i="4"/>
  <c r="Q133" i="4"/>
  <c r="P133" i="4"/>
  <c r="O133" i="4"/>
  <c r="N133" i="4"/>
  <c r="M133" i="4"/>
  <c r="L133" i="4"/>
  <c r="K133" i="4"/>
  <c r="R132" i="4"/>
  <c r="Q132" i="4"/>
  <c r="P132" i="4"/>
  <c r="O132" i="4"/>
  <c r="N132" i="4"/>
  <c r="M132" i="4"/>
  <c r="L132" i="4"/>
  <c r="K132" i="4"/>
  <c r="R131" i="4"/>
  <c r="Q131" i="4"/>
  <c r="P131" i="4"/>
  <c r="O131" i="4"/>
  <c r="N131" i="4"/>
  <c r="M131" i="4"/>
  <c r="L131" i="4"/>
  <c r="K131" i="4"/>
  <c r="R130" i="4"/>
  <c r="Q130" i="4"/>
  <c r="P130" i="4"/>
  <c r="O130" i="4"/>
  <c r="N130" i="4"/>
  <c r="M130" i="4"/>
  <c r="L130" i="4"/>
  <c r="K130" i="4"/>
  <c r="R129" i="4"/>
  <c r="Q129" i="4"/>
  <c r="P129" i="4"/>
  <c r="O129" i="4"/>
  <c r="N129" i="4"/>
  <c r="M129" i="4"/>
  <c r="L129" i="4"/>
  <c r="K129" i="4"/>
  <c r="R128" i="4"/>
  <c r="Q128" i="4"/>
  <c r="P128" i="4"/>
  <c r="O128" i="4"/>
  <c r="N128" i="4"/>
  <c r="M128" i="4"/>
  <c r="L128" i="4"/>
  <c r="K128" i="4"/>
  <c r="R127" i="4"/>
  <c r="Q127" i="4"/>
  <c r="P127" i="4"/>
  <c r="O127" i="4"/>
  <c r="N127" i="4"/>
  <c r="M127" i="4"/>
  <c r="L127" i="4"/>
  <c r="K127" i="4"/>
  <c r="R126" i="4"/>
  <c r="Q126" i="4"/>
  <c r="P126" i="4"/>
  <c r="O126" i="4"/>
  <c r="N126" i="4"/>
  <c r="M126" i="4"/>
  <c r="L126" i="4"/>
  <c r="K126" i="4"/>
  <c r="R125" i="4"/>
  <c r="Q125" i="4"/>
  <c r="P125" i="4"/>
  <c r="O125" i="4"/>
  <c r="N125" i="4"/>
  <c r="M125" i="4"/>
  <c r="L125" i="4"/>
  <c r="K125" i="4"/>
  <c r="R124" i="4"/>
  <c r="Q124" i="4"/>
  <c r="P124" i="4"/>
  <c r="O124" i="4"/>
  <c r="N124" i="4"/>
  <c r="M124" i="4"/>
  <c r="L124" i="4"/>
  <c r="K124" i="4"/>
  <c r="R123" i="4"/>
  <c r="Q123" i="4"/>
  <c r="P123" i="4"/>
  <c r="O123" i="4"/>
  <c r="N123" i="4"/>
  <c r="M123" i="4"/>
  <c r="L123" i="4"/>
  <c r="K123" i="4"/>
  <c r="R122" i="4"/>
  <c r="Q122" i="4"/>
  <c r="P122" i="4"/>
  <c r="O122" i="4"/>
  <c r="N122" i="4"/>
  <c r="M122" i="4"/>
  <c r="L122" i="4"/>
  <c r="K122" i="4"/>
  <c r="R121" i="4"/>
  <c r="Q121" i="4"/>
  <c r="P121" i="4"/>
  <c r="O121" i="4"/>
  <c r="N121" i="4"/>
  <c r="M121" i="4"/>
  <c r="L121" i="4"/>
  <c r="K121" i="4"/>
  <c r="R120" i="4"/>
  <c r="Q120" i="4"/>
  <c r="P120" i="4"/>
  <c r="O120" i="4"/>
  <c r="N120" i="4"/>
  <c r="M120" i="4"/>
  <c r="L120" i="4"/>
  <c r="K120" i="4"/>
  <c r="R119" i="4"/>
  <c r="H119" i="4"/>
  <c r="N119" i="4" s="1"/>
  <c r="H118" i="4"/>
  <c r="R117" i="4"/>
  <c r="Q117" i="4"/>
  <c r="P117" i="4"/>
  <c r="O117" i="4"/>
  <c r="N117" i="4"/>
  <c r="M117" i="4"/>
  <c r="L117" i="4"/>
  <c r="K117" i="4"/>
  <c r="R116" i="4"/>
  <c r="Q116" i="4"/>
  <c r="P116" i="4"/>
  <c r="O116" i="4"/>
  <c r="N116" i="4"/>
  <c r="M116" i="4"/>
  <c r="L116" i="4"/>
  <c r="K116" i="4"/>
  <c r="R115" i="4"/>
  <c r="Q115" i="4"/>
  <c r="P115" i="4"/>
  <c r="O115" i="4"/>
  <c r="N115" i="4"/>
  <c r="M115" i="4"/>
  <c r="L115" i="4"/>
  <c r="K115" i="4"/>
  <c r="R114" i="4"/>
  <c r="Q114" i="4"/>
  <c r="P114" i="4"/>
  <c r="O114" i="4"/>
  <c r="N114" i="4"/>
  <c r="M114" i="4"/>
  <c r="L114" i="4"/>
  <c r="K114" i="4"/>
  <c r="R113" i="4"/>
  <c r="Q113" i="4"/>
  <c r="P113" i="4"/>
  <c r="O113" i="4"/>
  <c r="N113" i="4"/>
  <c r="M113" i="4"/>
  <c r="L113" i="4"/>
  <c r="K113" i="4"/>
  <c r="R112" i="4"/>
  <c r="Q112" i="4"/>
  <c r="P112" i="4"/>
  <c r="O112" i="4"/>
  <c r="N112" i="4"/>
  <c r="M112" i="4"/>
  <c r="L112" i="4"/>
  <c r="K112" i="4"/>
  <c r="R111" i="4"/>
  <c r="Q111" i="4"/>
  <c r="P111" i="4"/>
  <c r="O111" i="4"/>
  <c r="N111" i="4"/>
  <c r="M111" i="4"/>
  <c r="L111" i="4"/>
  <c r="K111" i="4"/>
  <c r="R110" i="4"/>
  <c r="Q110" i="4"/>
  <c r="P110" i="4"/>
  <c r="O110" i="4"/>
  <c r="N110" i="4"/>
  <c r="M110" i="4"/>
  <c r="L110" i="4"/>
  <c r="K110" i="4"/>
  <c r="R109" i="4"/>
  <c r="Q109" i="4"/>
  <c r="P109" i="4"/>
  <c r="O109" i="4"/>
  <c r="N109" i="4"/>
  <c r="M109" i="4"/>
  <c r="L109" i="4"/>
  <c r="K109" i="4"/>
  <c r="R108" i="4"/>
  <c r="Q108" i="4"/>
  <c r="P108" i="4"/>
  <c r="O108" i="4"/>
  <c r="N108" i="4"/>
  <c r="M108" i="4"/>
  <c r="L108" i="4"/>
  <c r="K108" i="4"/>
  <c r="R107" i="4"/>
  <c r="Q107" i="4"/>
  <c r="P107" i="4"/>
  <c r="O107" i="4"/>
  <c r="N107" i="4"/>
  <c r="M107" i="4"/>
  <c r="L107" i="4"/>
  <c r="K107" i="4"/>
  <c r="R106" i="4"/>
  <c r="Q106" i="4"/>
  <c r="P106" i="4"/>
  <c r="O106" i="4"/>
  <c r="N106" i="4"/>
  <c r="M106" i="4"/>
  <c r="L106" i="4"/>
  <c r="K106" i="4"/>
  <c r="R105" i="4"/>
  <c r="Q105" i="4"/>
  <c r="P105" i="4"/>
  <c r="O105" i="4"/>
  <c r="N105" i="4"/>
  <c r="M105" i="4"/>
  <c r="L105" i="4"/>
  <c r="K105" i="4"/>
  <c r="R104" i="4"/>
  <c r="Q104" i="4"/>
  <c r="P104" i="4"/>
  <c r="O104" i="4"/>
  <c r="N104" i="4"/>
  <c r="M104" i="4"/>
  <c r="L104" i="4"/>
  <c r="K104" i="4"/>
  <c r="R103" i="4"/>
  <c r="Q103" i="4"/>
  <c r="P103" i="4"/>
  <c r="O103" i="4"/>
  <c r="N103" i="4"/>
  <c r="M103" i="4"/>
  <c r="L103" i="4"/>
  <c r="K103" i="4"/>
  <c r="R102" i="4"/>
  <c r="Q102" i="4"/>
  <c r="P102" i="4"/>
  <c r="O102" i="4"/>
  <c r="N102" i="4"/>
  <c r="M102" i="4"/>
  <c r="L102" i="4"/>
  <c r="K102" i="4"/>
  <c r="R101" i="4"/>
  <c r="Q101" i="4"/>
  <c r="P101" i="4"/>
  <c r="O101" i="4"/>
  <c r="N101" i="4"/>
  <c r="M101" i="4"/>
  <c r="L101" i="4"/>
  <c r="K101" i="4"/>
  <c r="R100" i="4"/>
  <c r="Q100" i="4"/>
  <c r="P100" i="4"/>
  <c r="O100" i="4"/>
  <c r="N100" i="4"/>
  <c r="M100" i="4"/>
  <c r="L100" i="4"/>
  <c r="K100" i="4"/>
  <c r="R99" i="4"/>
  <c r="Q99" i="4"/>
  <c r="P99" i="4"/>
  <c r="O99" i="4"/>
  <c r="N99" i="4"/>
  <c r="M99" i="4"/>
  <c r="L99" i="4"/>
  <c r="K99" i="4"/>
  <c r="R98" i="4"/>
  <c r="Q98" i="4"/>
  <c r="P98" i="4"/>
  <c r="O98" i="4"/>
  <c r="N98" i="4"/>
  <c r="M98" i="4"/>
  <c r="L98" i="4"/>
  <c r="K98" i="4"/>
  <c r="H97" i="4"/>
  <c r="R96" i="4"/>
  <c r="Q96" i="4"/>
  <c r="P96" i="4"/>
  <c r="O96" i="4"/>
  <c r="N96" i="4"/>
  <c r="M96" i="4"/>
  <c r="L96" i="4"/>
  <c r="K96" i="4"/>
  <c r="H95" i="4"/>
  <c r="H94" i="4"/>
  <c r="R94" i="4" s="1"/>
  <c r="H93" i="4"/>
  <c r="P93" i="4" s="1"/>
  <c r="H92" i="4"/>
  <c r="Q92" i="4" s="1"/>
  <c r="H91" i="4"/>
  <c r="R91" i="4" s="1"/>
  <c r="R90" i="4"/>
  <c r="Q90" i="4"/>
  <c r="P90" i="4"/>
  <c r="O90" i="4"/>
  <c r="N90" i="4"/>
  <c r="M90" i="4"/>
  <c r="L90" i="4"/>
  <c r="K90" i="4"/>
  <c r="R89" i="4"/>
  <c r="Q89" i="4"/>
  <c r="P89" i="4"/>
  <c r="O89" i="4"/>
  <c r="N89" i="4"/>
  <c r="M89" i="4"/>
  <c r="L89" i="4"/>
  <c r="K89" i="4"/>
  <c r="R88" i="4"/>
  <c r="Q88" i="4"/>
  <c r="P88" i="4"/>
  <c r="O88" i="4"/>
  <c r="N88" i="4"/>
  <c r="M88" i="4"/>
  <c r="L88" i="4"/>
  <c r="K88" i="4"/>
  <c r="R87" i="4"/>
  <c r="Q87" i="4"/>
  <c r="P87" i="4"/>
  <c r="O87" i="4"/>
  <c r="N87" i="4"/>
  <c r="M87" i="4"/>
  <c r="L87" i="4"/>
  <c r="K87" i="4"/>
  <c r="H86" i="4"/>
  <c r="O86" i="4" s="1"/>
  <c r="R85" i="4"/>
  <c r="Q85" i="4"/>
  <c r="P85" i="4"/>
  <c r="O85" i="4"/>
  <c r="N85" i="4"/>
  <c r="M85" i="4"/>
  <c r="L85" i="4"/>
  <c r="K85" i="4"/>
  <c r="R84" i="4"/>
  <c r="Q84" i="4"/>
  <c r="P84" i="4"/>
  <c r="O84" i="4"/>
  <c r="N84" i="4"/>
  <c r="M84" i="4"/>
  <c r="L84" i="4"/>
  <c r="K84" i="4"/>
  <c r="R83" i="4"/>
  <c r="Q83" i="4"/>
  <c r="P83" i="4"/>
  <c r="O83" i="4"/>
  <c r="N83" i="4"/>
  <c r="M83" i="4"/>
  <c r="L83" i="4"/>
  <c r="K83" i="4"/>
  <c r="R82" i="4"/>
  <c r="Q82" i="4"/>
  <c r="P82" i="4"/>
  <c r="O82" i="4"/>
  <c r="N82" i="4"/>
  <c r="M82" i="4"/>
  <c r="L82" i="4"/>
  <c r="K82" i="4"/>
  <c r="R81" i="4"/>
  <c r="Q81" i="4"/>
  <c r="P81" i="4"/>
  <c r="O81" i="4"/>
  <c r="N81" i="4"/>
  <c r="M81" i="4"/>
  <c r="L81" i="4"/>
  <c r="K81" i="4"/>
  <c r="R80" i="4"/>
  <c r="Q80" i="4"/>
  <c r="P80" i="4"/>
  <c r="O80" i="4"/>
  <c r="N80" i="4"/>
  <c r="M80" i="4"/>
  <c r="L80" i="4"/>
  <c r="K80" i="4"/>
  <c r="R79" i="4"/>
  <c r="Q79" i="4"/>
  <c r="P79" i="4"/>
  <c r="O79" i="4"/>
  <c r="N79" i="4"/>
  <c r="M79" i="4"/>
  <c r="L79" i="4"/>
  <c r="K79" i="4"/>
  <c r="R78" i="4"/>
  <c r="Q78" i="4"/>
  <c r="P78" i="4"/>
  <c r="O78" i="4"/>
  <c r="N78" i="4"/>
  <c r="M78" i="4"/>
  <c r="L78" i="4"/>
  <c r="K78" i="4"/>
  <c r="R77" i="4"/>
  <c r="Q77" i="4"/>
  <c r="P77" i="4"/>
  <c r="O77" i="4"/>
  <c r="N77" i="4"/>
  <c r="M77" i="4"/>
  <c r="L77" i="4"/>
  <c r="K77" i="4"/>
  <c r="R76" i="4"/>
  <c r="Q76" i="4"/>
  <c r="P76" i="4"/>
  <c r="O76" i="4"/>
  <c r="N76" i="4"/>
  <c r="M76" i="4"/>
  <c r="L76" i="4"/>
  <c r="K76" i="4"/>
  <c r="R75" i="4"/>
  <c r="Q75" i="4"/>
  <c r="P75" i="4"/>
  <c r="O75" i="4"/>
  <c r="N75" i="4"/>
  <c r="M75" i="4"/>
  <c r="L75" i="4"/>
  <c r="K75" i="4"/>
  <c r="H74" i="4"/>
  <c r="H73" i="4"/>
  <c r="M73" i="4" s="1"/>
  <c r="H72" i="4"/>
  <c r="N72" i="4" s="1"/>
  <c r="H71" i="4"/>
  <c r="O71" i="4" s="1"/>
  <c r="R70" i="4"/>
  <c r="Q70" i="4"/>
  <c r="P70" i="4"/>
  <c r="O70" i="4"/>
  <c r="N70" i="4"/>
  <c r="M70" i="4"/>
  <c r="L70" i="4"/>
  <c r="K70" i="4"/>
  <c r="R69" i="4"/>
  <c r="Q69" i="4"/>
  <c r="P69" i="4"/>
  <c r="O69" i="4"/>
  <c r="N69" i="4"/>
  <c r="M69" i="4"/>
  <c r="L69" i="4"/>
  <c r="K69" i="4"/>
  <c r="O68" i="4"/>
  <c r="H68" i="4"/>
  <c r="P68" i="4" s="1"/>
  <c r="R67" i="4"/>
  <c r="Q67" i="4"/>
  <c r="P67" i="4"/>
  <c r="O67" i="4"/>
  <c r="N67" i="4"/>
  <c r="M67" i="4"/>
  <c r="L67" i="4"/>
  <c r="K67" i="4"/>
  <c r="R66" i="4"/>
  <c r="Q66" i="4"/>
  <c r="P66" i="4"/>
  <c r="O66" i="4"/>
  <c r="N66" i="4"/>
  <c r="M66" i="4"/>
  <c r="L66" i="4"/>
  <c r="K66" i="4"/>
  <c r="R65" i="4"/>
  <c r="Q65" i="4"/>
  <c r="P65" i="4"/>
  <c r="O65" i="4"/>
  <c r="N65" i="4"/>
  <c r="M65" i="4"/>
  <c r="L65" i="4"/>
  <c r="K65" i="4"/>
  <c r="R64" i="4"/>
  <c r="Q64" i="4"/>
  <c r="P64" i="4"/>
  <c r="O64" i="4"/>
  <c r="N64" i="4"/>
  <c r="M64" i="4"/>
  <c r="L64" i="4"/>
  <c r="K64" i="4"/>
  <c r="H63" i="4"/>
  <c r="R63" i="4" s="1"/>
  <c r="R62" i="4"/>
  <c r="Q62" i="4"/>
  <c r="P62" i="4"/>
  <c r="O62" i="4"/>
  <c r="N62" i="4"/>
  <c r="M62" i="4"/>
  <c r="L62" i="4"/>
  <c r="K62" i="4"/>
  <c r="R61" i="4"/>
  <c r="Q61" i="4"/>
  <c r="P61" i="4"/>
  <c r="O61" i="4"/>
  <c r="N61" i="4"/>
  <c r="M61" i="4"/>
  <c r="L61" i="4"/>
  <c r="K61" i="4"/>
  <c r="R60" i="4"/>
  <c r="Q60" i="4"/>
  <c r="P60" i="4"/>
  <c r="O60" i="4"/>
  <c r="N60" i="4"/>
  <c r="M60" i="4"/>
  <c r="L60" i="4"/>
  <c r="K60" i="4"/>
  <c r="R59" i="4"/>
  <c r="Q59" i="4"/>
  <c r="P59" i="4"/>
  <c r="O59" i="4"/>
  <c r="N59" i="4"/>
  <c r="M59" i="4"/>
  <c r="L59" i="4"/>
  <c r="K59" i="4"/>
  <c r="H58" i="4"/>
  <c r="Q58" i="4" s="1"/>
  <c r="R57" i="4"/>
  <c r="Q57" i="4"/>
  <c r="P57" i="4"/>
  <c r="O57" i="4"/>
  <c r="N57" i="4"/>
  <c r="M57" i="4"/>
  <c r="L57" i="4"/>
  <c r="K57" i="4"/>
  <c r="R56" i="4"/>
  <c r="Q56" i="4"/>
  <c r="P56" i="4"/>
  <c r="O56" i="4"/>
  <c r="N56" i="4"/>
  <c r="M56" i="4"/>
  <c r="L56" i="4"/>
  <c r="K56" i="4"/>
  <c r="H55" i="4"/>
  <c r="O55" i="4" s="1"/>
  <c r="R54" i="4"/>
  <c r="Q54" i="4"/>
  <c r="P54" i="4"/>
  <c r="O54" i="4"/>
  <c r="N54" i="4"/>
  <c r="M54" i="4"/>
  <c r="L54" i="4"/>
  <c r="K54" i="4"/>
  <c r="R53" i="4"/>
  <c r="Q53" i="4"/>
  <c r="P53" i="4"/>
  <c r="O53" i="4"/>
  <c r="N53" i="4"/>
  <c r="M53" i="4"/>
  <c r="L53" i="4"/>
  <c r="K53" i="4"/>
  <c r="R52" i="4"/>
  <c r="Q52" i="4"/>
  <c r="P52" i="4"/>
  <c r="O52" i="4"/>
  <c r="N52" i="4"/>
  <c r="M52" i="4"/>
  <c r="L52" i="4"/>
  <c r="K52" i="4"/>
  <c r="R51" i="4"/>
  <c r="Q51" i="4"/>
  <c r="P51" i="4"/>
  <c r="O51" i="4"/>
  <c r="N51" i="4"/>
  <c r="M51" i="4"/>
  <c r="L51" i="4"/>
  <c r="K51" i="4"/>
  <c r="R50" i="4"/>
  <c r="Q50" i="4"/>
  <c r="P50" i="4"/>
  <c r="O50" i="4"/>
  <c r="N50" i="4"/>
  <c r="M50" i="4"/>
  <c r="L50" i="4"/>
  <c r="K50" i="4"/>
  <c r="R49" i="4"/>
  <c r="Q49" i="4"/>
  <c r="P49" i="4"/>
  <c r="O49" i="4"/>
  <c r="N49" i="4"/>
  <c r="M49" i="4"/>
  <c r="L49" i="4"/>
  <c r="K49" i="4"/>
  <c r="R48" i="4"/>
  <c r="Q48" i="4"/>
  <c r="P48" i="4"/>
  <c r="O48" i="4"/>
  <c r="N48" i="4"/>
  <c r="M48" i="4"/>
  <c r="L48" i="4"/>
  <c r="K48" i="4"/>
  <c r="R47" i="4"/>
  <c r="Q47" i="4"/>
  <c r="P47" i="4"/>
  <c r="O47" i="4"/>
  <c r="N47" i="4"/>
  <c r="M47" i="4"/>
  <c r="L47" i="4"/>
  <c r="K47" i="4"/>
  <c r="R46" i="4"/>
  <c r="Q46" i="4"/>
  <c r="P46" i="4"/>
  <c r="O46" i="4"/>
  <c r="N46" i="4"/>
  <c r="M46" i="4"/>
  <c r="L46" i="4"/>
  <c r="K46" i="4"/>
  <c r="R45" i="4"/>
  <c r="Q45" i="4"/>
  <c r="P45" i="4"/>
  <c r="O45" i="4"/>
  <c r="N45" i="4"/>
  <c r="M45" i="4"/>
  <c r="L45" i="4"/>
  <c r="K45" i="4"/>
  <c r="R44" i="4"/>
  <c r="Q44" i="4"/>
  <c r="P44" i="4"/>
  <c r="O44" i="4"/>
  <c r="N44" i="4"/>
  <c r="M44" i="4"/>
  <c r="L44" i="4"/>
  <c r="K44" i="4"/>
  <c r="R43" i="4"/>
  <c r="Q43" i="4"/>
  <c r="P43" i="4"/>
  <c r="O43" i="4"/>
  <c r="N43" i="4"/>
  <c r="M43" i="4"/>
  <c r="L43" i="4"/>
  <c r="K43" i="4"/>
  <c r="R42" i="4"/>
  <c r="Q42" i="4"/>
  <c r="P42" i="4"/>
  <c r="O42" i="4"/>
  <c r="N42" i="4"/>
  <c r="M42" i="4"/>
  <c r="L42" i="4"/>
  <c r="K42" i="4"/>
  <c r="R41" i="4"/>
  <c r="Q41" i="4"/>
  <c r="P41" i="4"/>
  <c r="O41" i="4"/>
  <c r="N41" i="4"/>
  <c r="M41" i="4"/>
  <c r="L41" i="4"/>
  <c r="K41" i="4"/>
  <c r="R40" i="4"/>
  <c r="Q40" i="4"/>
  <c r="P40" i="4"/>
  <c r="O40" i="4"/>
  <c r="N40" i="4"/>
  <c r="M40" i="4"/>
  <c r="L40" i="4"/>
  <c r="K40" i="4"/>
  <c r="R39" i="4"/>
  <c r="Q39" i="4"/>
  <c r="P39" i="4"/>
  <c r="O39" i="4"/>
  <c r="N39" i="4"/>
  <c r="M39" i="4"/>
  <c r="L39" i="4"/>
  <c r="K39" i="4"/>
  <c r="R38" i="4"/>
  <c r="Q38" i="4"/>
  <c r="P38" i="4"/>
  <c r="O38" i="4"/>
  <c r="N38" i="4"/>
  <c r="M38" i="4"/>
  <c r="L38" i="4"/>
  <c r="K38" i="4"/>
  <c r="R37" i="4"/>
  <c r="Q37" i="4"/>
  <c r="P37" i="4"/>
  <c r="O37" i="4"/>
  <c r="N37" i="4"/>
  <c r="M37" i="4"/>
  <c r="L37" i="4"/>
  <c r="K37" i="4"/>
  <c r="R36" i="4"/>
  <c r="Q36" i="4"/>
  <c r="P36" i="4"/>
  <c r="O36" i="4"/>
  <c r="N36" i="4"/>
  <c r="M36" i="4"/>
  <c r="L36" i="4"/>
  <c r="K36" i="4"/>
  <c r="R35" i="4"/>
  <c r="Q35" i="4"/>
  <c r="P35" i="4"/>
  <c r="O35" i="4"/>
  <c r="N35" i="4"/>
  <c r="M35" i="4"/>
  <c r="L35" i="4"/>
  <c r="K35" i="4"/>
  <c r="R34" i="4"/>
  <c r="Q34" i="4"/>
  <c r="P34" i="4"/>
  <c r="O34" i="4"/>
  <c r="N34" i="4"/>
  <c r="M34" i="4"/>
  <c r="L34" i="4"/>
  <c r="K34" i="4"/>
  <c r="R33" i="4"/>
  <c r="Q33" i="4"/>
  <c r="P33" i="4"/>
  <c r="O33" i="4"/>
  <c r="N33" i="4"/>
  <c r="M33" i="4"/>
  <c r="L33" i="4"/>
  <c r="K33" i="4"/>
  <c r="R32" i="4"/>
  <c r="Q32" i="4"/>
  <c r="P32" i="4"/>
  <c r="O32" i="4"/>
  <c r="N32" i="4"/>
  <c r="M32" i="4"/>
  <c r="L32" i="4"/>
  <c r="K32" i="4"/>
  <c r="R31" i="4"/>
  <c r="Q31" i="4"/>
  <c r="P31" i="4"/>
  <c r="O31" i="4"/>
  <c r="N31" i="4"/>
  <c r="M31" i="4"/>
  <c r="L31" i="4"/>
  <c r="K31" i="4"/>
  <c r="R30" i="4"/>
  <c r="Q30" i="4"/>
  <c r="P30" i="4"/>
  <c r="O30" i="4"/>
  <c r="N30" i="4"/>
  <c r="M30" i="4"/>
  <c r="L30" i="4"/>
  <c r="K30" i="4"/>
  <c r="R29" i="4"/>
  <c r="Q29" i="4"/>
  <c r="P29" i="4"/>
  <c r="O29" i="4"/>
  <c r="N29" i="4"/>
  <c r="M29" i="4"/>
  <c r="L29" i="4"/>
  <c r="K29" i="4"/>
  <c r="R28" i="4"/>
  <c r="Q28" i="4"/>
  <c r="P28" i="4"/>
  <c r="O28" i="4"/>
  <c r="N28" i="4"/>
  <c r="M28" i="4"/>
  <c r="L28" i="4"/>
  <c r="K28" i="4"/>
  <c r="R27" i="4"/>
  <c r="Q27" i="4"/>
  <c r="P27" i="4"/>
  <c r="O27" i="4"/>
  <c r="N27" i="4"/>
  <c r="M27" i="4"/>
  <c r="L27" i="4"/>
  <c r="K27" i="4"/>
  <c r="R26" i="4"/>
  <c r="Q26" i="4"/>
  <c r="P26" i="4"/>
  <c r="O26" i="4"/>
  <c r="N26" i="4"/>
  <c r="M26" i="4"/>
  <c r="L26" i="4"/>
  <c r="K26" i="4"/>
  <c r="R25" i="4"/>
  <c r="Q25" i="4"/>
  <c r="P25" i="4"/>
  <c r="O25" i="4"/>
  <c r="N25" i="4"/>
  <c r="M25" i="4"/>
  <c r="L25" i="4"/>
  <c r="K25" i="4"/>
  <c r="R24" i="4"/>
  <c r="Q24" i="4"/>
  <c r="P24" i="4"/>
  <c r="O24" i="4"/>
  <c r="N24" i="4"/>
  <c r="M24" i="4"/>
  <c r="L24" i="4"/>
  <c r="K24" i="4"/>
  <c r="R23" i="4"/>
  <c r="Q23" i="4"/>
  <c r="P23" i="4"/>
  <c r="O23" i="4"/>
  <c r="N23" i="4"/>
  <c r="M23" i="4"/>
  <c r="L23" i="4"/>
  <c r="K23" i="4"/>
  <c r="R22" i="4"/>
  <c r="Q22" i="4"/>
  <c r="P22" i="4"/>
  <c r="O22" i="4"/>
  <c r="N22" i="4"/>
  <c r="M22" i="4"/>
  <c r="L22" i="4"/>
  <c r="K22" i="4"/>
  <c r="R21" i="4"/>
  <c r="Q21" i="4"/>
  <c r="P21" i="4"/>
  <c r="O21" i="4"/>
  <c r="N21" i="4"/>
  <c r="M21" i="4"/>
  <c r="L21" i="4"/>
  <c r="K21" i="4"/>
  <c r="R20" i="4"/>
  <c r="Q20" i="4"/>
  <c r="P20" i="4"/>
  <c r="O20" i="4"/>
  <c r="N20" i="4"/>
  <c r="M20" i="4"/>
  <c r="L20" i="4"/>
  <c r="K20" i="4"/>
  <c r="R19" i="4"/>
  <c r="Q19" i="4"/>
  <c r="P19" i="4"/>
  <c r="O19" i="4"/>
  <c r="N19" i="4"/>
  <c r="M19" i="4"/>
  <c r="L19" i="4"/>
  <c r="K19" i="4"/>
  <c r="R18" i="4"/>
  <c r="Q18" i="4"/>
  <c r="P18" i="4"/>
  <c r="O18" i="4"/>
  <c r="N18" i="4"/>
  <c r="M18" i="4"/>
  <c r="L18" i="4"/>
  <c r="K18" i="4"/>
  <c r="R17" i="4"/>
  <c r="Q17" i="4"/>
  <c r="P17" i="4"/>
  <c r="O17" i="4"/>
  <c r="N17" i="4"/>
  <c r="M17" i="4"/>
  <c r="L17" i="4"/>
  <c r="K17" i="4"/>
  <c r="R16" i="4"/>
  <c r="Q16" i="4"/>
  <c r="P16" i="4"/>
  <c r="O16" i="4"/>
  <c r="N16" i="4"/>
  <c r="M16" i="4"/>
  <c r="L16" i="4"/>
  <c r="K16" i="4"/>
  <c r="R15" i="4"/>
  <c r="Q15" i="4"/>
  <c r="P15" i="4"/>
  <c r="O15" i="4"/>
  <c r="N15" i="4"/>
  <c r="M15" i="4"/>
  <c r="L15" i="4"/>
  <c r="K15" i="4"/>
  <c r="R14" i="4"/>
  <c r="Q14" i="4"/>
  <c r="P14" i="4"/>
  <c r="O14" i="4"/>
  <c r="N14" i="4"/>
  <c r="M14" i="4"/>
  <c r="L14" i="4"/>
  <c r="K14" i="4"/>
  <c r="R13" i="4"/>
  <c r="Q13" i="4"/>
  <c r="P13" i="4"/>
  <c r="O13" i="4"/>
  <c r="N13" i="4"/>
  <c r="M13" i="4"/>
  <c r="L13" i="4"/>
  <c r="K13" i="4"/>
  <c r="R12" i="4"/>
  <c r="Q12" i="4"/>
  <c r="P12" i="4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R10" i="4"/>
  <c r="Q10" i="4"/>
  <c r="P10" i="4"/>
  <c r="O10" i="4"/>
  <c r="N10" i="4"/>
  <c r="M10" i="4"/>
  <c r="L10" i="4"/>
  <c r="K10" i="4"/>
  <c r="R9" i="4"/>
  <c r="Q9" i="4"/>
  <c r="P9" i="4"/>
  <c r="O9" i="4"/>
  <c r="N9" i="4"/>
  <c r="M9" i="4"/>
  <c r="L9" i="4"/>
  <c r="K9" i="4"/>
  <c r="R8" i="4"/>
  <c r="Q8" i="4"/>
  <c r="P8" i="4"/>
  <c r="O8" i="4"/>
  <c r="N8" i="4"/>
  <c r="M8" i="4"/>
  <c r="L8" i="4"/>
  <c r="K8" i="4"/>
  <c r="R7" i="4"/>
  <c r="Q7" i="4"/>
  <c r="P7" i="4"/>
  <c r="O7" i="4"/>
  <c r="N7" i="4"/>
  <c r="M7" i="4"/>
  <c r="L7" i="4"/>
  <c r="K7" i="4"/>
  <c r="R6" i="4"/>
  <c r="Q6" i="4"/>
  <c r="P6" i="4"/>
  <c r="O6" i="4"/>
  <c r="N6" i="4"/>
  <c r="M6" i="4"/>
  <c r="L6" i="4"/>
  <c r="K6" i="4"/>
  <c r="R5" i="4"/>
  <c r="Q5" i="4"/>
  <c r="P5" i="4"/>
  <c r="O5" i="4"/>
  <c r="N5" i="4"/>
  <c r="M5" i="4"/>
  <c r="L5" i="4"/>
  <c r="K5" i="4"/>
  <c r="R4" i="4"/>
  <c r="Q4" i="4"/>
  <c r="P4" i="4"/>
  <c r="O4" i="4"/>
  <c r="N4" i="4"/>
  <c r="M4" i="4"/>
  <c r="L4" i="4"/>
  <c r="K4" i="4"/>
  <c r="R3" i="4"/>
  <c r="Q3" i="4"/>
  <c r="P3" i="4"/>
  <c r="O3" i="4"/>
  <c r="N3" i="4"/>
  <c r="M3" i="4"/>
  <c r="L3" i="4"/>
  <c r="K3" i="4"/>
  <c r="R2" i="4"/>
  <c r="Q2" i="4"/>
  <c r="P2" i="4"/>
  <c r="O2" i="4"/>
  <c r="N2" i="4"/>
  <c r="M2" i="4"/>
  <c r="L2" i="4"/>
  <c r="K2" i="4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6" i="6"/>
  <c r="R57" i="6"/>
  <c r="R59" i="6"/>
  <c r="R60" i="6"/>
  <c r="R61" i="6"/>
  <c r="R62" i="6"/>
  <c r="R64" i="6"/>
  <c r="R65" i="6"/>
  <c r="R66" i="6"/>
  <c r="R67" i="6"/>
  <c r="R69" i="6"/>
  <c r="R70" i="6"/>
  <c r="R75" i="6"/>
  <c r="R76" i="6"/>
  <c r="R77" i="6"/>
  <c r="R78" i="6"/>
  <c r="R79" i="6"/>
  <c r="R80" i="6"/>
  <c r="R81" i="6"/>
  <c r="R82" i="6"/>
  <c r="R83" i="6"/>
  <c r="R84" i="6"/>
  <c r="R85" i="6"/>
  <c r="R87" i="6"/>
  <c r="R88" i="6"/>
  <c r="R89" i="6"/>
  <c r="R90" i="6"/>
  <c r="R96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4" i="6"/>
  <c r="R155" i="6"/>
  <c r="R156" i="6"/>
  <c r="R157" i="6"/>
  <c r="R158" i="6"/>
  <c r="R159" i="6"/>
  <c r="R160" i="6"/>
  <c r="R164" i="6"/>
  <c r="R165" i="6"/>
  <c r="R166" i="6"/>
  <c r="R167" i="6"/>
  <c r="R168" i="6"/>
  <c r="R169" i="6"/>
  <c r="R170" i="6"/>
  <c r="R171" i="6"/>
  <c r="R172" i="6"/>
  <c r="R173" i="6"/>
  <c r="R174" i="6"/>
  <c r="R176" i="6"/>
  <c r="R179" i="6"/>
  <c r="R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6" i="6"/>
  <c r="N57" i="6"/>
  <c r="N59" i="6"/>
  <c r="N60" i="6"/>
  <c r="N61" i="6"/>
  <c r="N62" i="6"/>
  <c r="N64" i="6"/>
  <c r="N65" i="6"/>
  <c r="N66" i="6"/>
  <c r="N67" i="6"/>
  <c r="N69" i="6"/>
  <c r="N70" i="6"/>
  <c r="N75" i="6"/>
  <c r="N76" i="6"/>
  <c r="N77" i="6"/>
  <c r="N78" i="6"/>
  <c r="N79" i="6"/>
  <c r="N80" i="6"/>
  <c r="N81" i="6"/>
  <c r="N82" i="6"/>
  <c r="N83" i="6"/>
  <c r="N84" i="6"/>
  <c r="N85" i="6"/>
  <c r="N87" i="6"/>
  <c r="N88" i="6"/>
  <c r="N89" i="6"/>
  <c r="N90" i="6"/>
  <c r="N96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4" i="6"/>
  <c r="N155" i="6"/>
  <c r="N156" i="6"/>
  <c r="N157" i="6"/>
  <c r="N158" i="6"/>
  <c r="N159" i="6"/>
  <c r="N160" i="6"/>
  <c r="N164" i="6"/>
  <c r="N165" i="6"/>
  <c r="N166" i="6"/>
  <c r="N167" i="6"/>
  <c r="N168" i="6"/>
  <c r="N169" i="6"/>
  <c r="N170" i="6"/>
  <c r="N171" i="6"/>
  <c r="N172" i="6"/>
  <c r="N173" i="6"/>
  <c r="N174" i="6"/>
  <c r="N176" i="6"/>
  <c r="N179" i="6"/>
  <c r="N2" i="6"/>
  <c r="Q179" i="6"/>
  <c r="O179" i="6"/>
  <c r="P179" i="6"/>
  <c r="K179" i="6"/>
  <c r="M179" i="6"/>
  <c r="L179" i="6"/>
  <c r="H178" i="6"/>
  <c r="N178" i="6" s="1"/>
  <c r="H177" i="6"/>
  <c r="N177" i="6" s="1"/>
  <c r="Q176" i="6"/>
  <c r="O176" i="6"/>
  <c r="P176" i="6"/>
  <c r="K176" i="6"/>
  <c r="M176" i="6"/>
  <c r="L176" i="6"/>
  <c r="H175" i="6"/>
  <c r="O175" i="6" s="1"/>
  <c r="Q174" i="6"/>
  <c r="O174" i="6"/>
  <c r="P174" i="6"/>
  <c r="K174" i="6"/>
  <c r="M174" i="6"/>
  <c r="L174" i="6"/>
  <c r="Q173" i="6"/>
  <c r="O173" i="6"/>
  <c r="P173" i="6"/>
  <c r="K173" i="6"/>
  <c r="M173" i="6"/>
  <c r="L173" i="6"/>
  <c r="Q172" i="6"/>
  <c r="O172" i="6"/>
  <c r="P172" i="6"/>
  <c r="K172" i="6"/>
  <c r="M172" i="6"/>
  <c r="L172" i="6"/>
  <c r="Q171" i="6"/>
  <c r="O171" i="6"/>
  <c r="P171" i="6"/>
  <c r="K171" i="6"/>
  <c r="M171" i="6"/>
  <c r="L171" i="6"/>
  <c r="Q170" i="6"/>
  <c r="O170" i="6"/>
  <c r="P170" i="6"/>
  <c r="K170" i="6"/>
  <c r="M170" i="6"/>
  <c r="L170" i="6"/>
  <c r="Q169" i="6"/>
  <c r="O169" i="6"/>
  <c r="P169" i="6"/>
  <c r="K169" i="6"/>
  <c r="M169" i="6"/>
  <c r="L169" i="6"/>
  <c r="Q168" i="6"/>
  <c r="O168" i="6"/>
  <c r="P168" i="6"/>
  <c r="K168" i="6"/>
  <c r="M168" i="6"/>
  <c r="L168" i="6"/>
  <c r="Q167" i="6"/>
  <c r="O167" i="6"/>
  <c r="P167" i="6"/>
  <c r="K167" i="6"/>
  <c r="M167" i="6"/>
  <c r="L167" i="6"/>
  <c r="Q166" i="6"/>
  <c r="O166" i="6"/>
  <c r="P166" i="6"/>
  <c r="K166" i="6"/>
  <c r="M166" i="6"/>
  <c r="L166" i="6"/>
  <c r="Q165" i="6"/>
  <c r="O165" i="6"/>
  <c r="P165" i="6"/>
  <c r="K165" i="6"/>
  <c r="M165" i="6"/>
  <c r="L165" i="6"/>
  <c r="Q164" i="6"/>
  <c r="O164" i="6"/>
  <c r="P164" i="6"/>
  <c r="K164" i="6"/>
  <c r="M164" i="6"/>
  <c r="L164" i="6"/>
  <c r="H163" i="6"/>
  <c r="R163" i="6" s="1"/>
  <c r="H162" i="6"/>
  <c r="Q162" i="6" s="1"/>
  <c r="H161" i="6"/>
  <c r="N161" i="6" s="1"/>
  <c r="Q160" i="6"/>
  <c r="O160" i="6"/>
  <c r="P160" i="6"/>
  <c r="K160" i="6"/>
  <c r="M160" i="6"/>
  <c r="L160" i="6"/>
  <c r="Q159" i="6"/>
  <c r="O159" i="6"/>
  <c r="P159" i="6"/>
  <c r="K159" i="6"/>
  <c r="M159" i="6"/>
  <c r="L159" i="6"/>
  <c r="Q158" i="6"/>
  <c r="O158" i="6"/>
  <c r="P158" i="6"/>
  <c r="K158" i="6"/>
  <c r="M158" i="6"/>
  <c r="L158" i="6"/>
  <c r="Q157" i="6"/>
  <c r="O157" i="6"/>
  <c r="P157" i="6"/>
  <c r="K157" i="6"/>
  <c r="M157" i="6"/>
  <c r="L157" i="6"/>
  <c r="Q156" i="6"/>
  <c r="O156" i="6"/>
  <c r="P156" i="6"/>
  <c r="K156" i="6"/>
  <c r="M156" i="6"/>
  <c r="L156" i="6"/>
  <c r="Q155" i="6"/>
  <c r="O155" i="6"/>
  <c r="P155" i="6"/>
  <c r="K155" i="6"/>
  <c r="M155" i="6"/>
  <c r="L155" i="6"/>
  <c r="Q154" i="6"/>
  <c r="O154" i="6"/>
  <c r="P154" i="6"/>
  <c r="K154" i="6"/>
  <c r="M154" i="6"/>
  <c r="L154" i="6"/>
  <c r="H153" i="6"/>
  <c r="O153" i="6" s="1"/>
  <c r="Q152" i="6"/>
  <c r="O152" i="6"/>
  <c r="P152" i="6"/>
  <c r="K152" i="6"/>
  <c r="M152" i="6"/>
  <c r="L152" i="6"/>
  <c r="Q151" i="6"/>
  <c r="O151" i="6"/>
  <c r="P151" i="6"/>
  <c r="K151" i="6"/>
  <c r="M151" i="6"/>
  <c r="L151" i="6"/>
  <c r="Q150" i="6"/>
  <c r="O150" i="6"/>
  <c r="P150" i="6"/>
  <c r="K150" i="6"/>
  <c r="M150" i="6"/>
  <c r="L150" i="6"/>
  <c r="Q149" i="6"/>
  <c r="O149" i="6"/>
  <c r="P149" i="6"/>
  <c r="K149" i="6"/>
  <c r="M149" i="6"/>
  <c r="L149" i="6"/>
  <c r="Q148" i="6"/>
  <c r="O148" i="6"/>
  <c r="P148" i="6"/>
  <c r="K148" i="6"/>
  <c r="M148" i="6"/>
  <c r="L148" i="6"/>
  <c r="Q147" i="6"/>
  <c r="O147" i="6"/>
  <c r="P147" i="6"/>
  <c r="K147" i="6"/>
  <c r="M147" i="6"/>
  <c r="L147" i="6"/>
  <c r="Q146" i="6"/>
  <c r="O146" i="6"/>
  <c r="P146" i="6"/>
  <c r="K146" i="6"/>
  <c r="M146" i="6"/>
  <c r="L146" i="6"/>
  <c r="Q145" i="6"/>
  <c r="O145" i="6"/>
  <c r="P145" i="6"/>
  <c r="K145" i="6"/>
  <c r="M145" i="6"/>
  <c r="L145" i="6"/>
  <c r="Q144" i="6"/>
  <c r="O144" i="6"/>
  <c r="P144" i="6"/>
  <c r="K144" i="6"/>
  <c r="M144" i="6"/>
  <c r="L144" i="6"/>
  <c r="Q143" i="6"/>
  <c r="O143" i="6"/>
  <c r="P143" i="6"/>
  <c r="K143" i="6"/>
  <c r="M143" i="6"/>
  <c r="L143" i="6"/>
  <c r="Q142" i="6"/>
  <c r="O142" i="6"/>
  <c r="P142" i="6"/>
  <c r="K142" i="6"/>
  <c r="M142" i="6"/>
  <c r="L142" i="6"/>
  <c r="Q141" i="6"/>
  <c r="O141" i="6"/>
  <c r="P141" i="6"/>
  <c r="K141" i="6"/>
  <c r="M141" i="6"/>
  <c r="L141" i="6"/>
  <c r="Q140" i="6"/>
  <c r="O140" i="6"/>
  <c r="P140" i="6"/>
  <c r="K140" i="6"/>
  <c r="M140" i="6"/>
  <c r="L140" i="6"/>
  <c r="Q139" i="6"/>
  <c r="O139" i="6"/>
  <c r="P139" i="6"/>
  <c r="K139" i="6"/>
  <c r="M139" i="6"/>
  <c r="L139" i="6"/>
  <c r="Q138" i="6"/>
  <c r="O138" i="6"/>
  <c r="P138" i="6"/>
  <c r="K138" i="6"/>
  <c r="M138" i="6"/>
  <c r="L138" i="6"/>
  <c r="Q137" i="6"/>
  <c r="O137" i="6"/>
  <c r="P137" i="6"/>
  <c r="K137" i="6"/>
  <c r="M137" i="6"/>
  <c r="L137" i="6"/>
  <c r="Q136" i="6"/>
  <c r="O136" i="6"/>
  <c r="P136" i="6"/>
  <c r="K136" i="6"/>
  <c r="M136" i="6"/>
  <c r="L136" i="6"/>
  <c r="Q135" i="6"/>
  <c r="O135" i="6"/>
  <c r="P135" i="6"/>
  <c r="K135" i="6"/>
  <c r="M135" i="6"/>
  <c r="L135" i="6"/>
  <c r="Q134" i="6"/>
  <c r="O134" i="6"/>
  <c r="P134" i="6"/>
  <c r="K134" i="6"/>
  <c r="M134" i="6"/>
  <c r="L134" i="6"/>
  <c r="Q133" i="6"/>
  <c r="O133" i="6"/>
  <c r="P133" i="6"/>
  <c r="K133" i="6"/>
  <c r="M133" i="6"/>
  <c r="L133" i="6"/>
  <c r="Q132" i="6"/>
  <c r="O132" i="6"/>
  <c r="P132" i="6"/>
  <c r="K132" i="6"/>
  <c r="M132" i="6"/>
  <c r="L132" i="6"/>
  <c r="Q131" i="6"/>
  <c r="O131" i="6"/>
  <c r="P131" i="6"/>
  <c r="K131" i="6"/>
  <c r="M131" i="6"/>
  <c r="L131" i="6"/>
  <c r="Q130" i="6"/>
  <c r="O130" i="6"/>
  <c r="P130" i="6"/>
  <c r="K130" i="6"/>
  <c r="M130" i="6"/>
  <c r="L130" i="6"/>
  <c r="Q129" i="6"/>
  <c r="O129" i="6"/>
  <c r="P129" i="6"/>
  <c r="K129" i="6"/>
  <c r="M129" i="6"/>
  <c r="L129" i="6"/>
  <c r="Q128" i="6"/>
  <c r="O128" i="6"/>
  <c r="P128" i="6"/>
  <c r="K128" i="6"/>
  <c r="M128" i="6"/>
  <c r="L128" i="6"/>
  <c r="Q127" i="6"/>
  <c r="O127" i="6"/>
  <c r="P127" i="6"/>
  <c r="K127" i="6"/>
  <c r="M127" i="6"/>
  <c r="L127" i="6"/>
  <c r="Q126" i="6"/>
  <c r="O126" i="6"/>
  <c r="P126" i="6"/>
  <c r="K126" i="6"/>
  <c r="M126" i="6"/>
  <c r="L126" i="6"/>
  <c r="Q125" i="6"/>
  <c r="O125" i="6"/>
  <c r="P125" i="6"/>
  <c r="K125" i="6"/>
  <c r="M125" i="6"/>
  <c r="L125" i="6"/>
  <c r="Q124" i="6"/>
  <c r="O124" i="6"/>
  <c r="P124" i="6"/>
  <c r="K124" i="6"/>
  <c r="M124" i="6"/>
  <c r="L124" i="6"/>
  <c r="Q123" i="6"/>
  <c r="O123" i="6"/>
  <c r="P123" i="6"/>
  <c r="K123" i="6"/>
  <c r="M123" i="6"/>
  <c r="L123" i="6"/>
  <c r="Q122" i="6"/>
  <c r="O122" i="6"/>
  <c r="P122" i="6"/>
  <c r="K122" i="6"/>
  <c r="M122" i="6"/>
  <c r="L122" i="6"/>
  <c r="Q121" i="6"/>
  <c r="O121" i="6"/>
  <c r="P121" i="6"/>
  <c r="K121" i="6"/>
  <c r="M121" i="6"/>
  <c r="L121" i="6"/>
  <c r="Q120" i="6"/>
  <c r="O120" i="6"/>
  <c r="P120" i="6"/>
  <c r="K120" i="6"/>
  <c r="M120" i="6"/>
  <c r="L120" i="6"/>
  <c r="H119" i="6"/>
  <c r="R119" i="6" s="1"/>
  <c r="H118" i="6"/>
  <c r="N118" i="6" s="1"/>
  <c r="Q117" i="6"/>
  <c r="O117" i="6"/>
  <c r="P117" i="6"/>
  <c r="K117" i="6"/>
  <c r="M117" i="6"/>
  <c r="L117" i="6"/>
  <c r="Q116" i="6"/>
  <c r="O116" i="6"/>
  <c r="P116" i="6"/>
  <c r="K116" i="6"/>
  <c r="M116" i="6"/>
  <c r="L116" i="6"/>
  <c r="Q115" i="6"/>
  <c r="O115" i="6"/>
  <c r="P115" i="6"/>
  <c r="K115" i="6"/>
  <c r="M115" i="6"/>
  <c r="L115" i="6"/>
  <c r="Q114" i="6"/>
  <c r="O114" i="6"/>
  <c r="P114" i="6"/>
  <c r="K114" i="6"/>
  <c r="M114" i="6"/>
  <c r="L114" i="6"/>
  <c r="Q113" i="6"/>
  <c r="O113" i="6"/>
  <c r="P113" i="6"/>
  <c r="K113" i="6"/>
  <c r="M113" i="6"/>
  <c r="L113" i="6"/>
  <c r="Q112" i="6"/>
  <c r="O112" i="6"/>
  <c r="P112" i="6"/>
  <c r="K112" i="6"/>
  <c r="M112" i="6"/>
  <c r="L112" i="6"/>
  <c r="Q111" i="6"/>
  <c r="O111" i="6"/>
  <c r="P111" i="6"/>
  <c r="K111" i="6"/>
  <c r="M111" i="6"/>
  <c r="L111" i="6"/>
  <c r="Q110" i="6"/>
  <c r="O110" i="6"/>
  <c r="P110" i="6"/>
  <c r="K110" i="6"/>
  <c r="M110" i="6"/>
  <c r="L110" i="6"/>
  <c r="Q109" i="6"/>
  <c r="O109" i="6"/>
  <c r="P109" i="6"/>
  <c r="K109" i="6"/>
  <c r="M109" i="6"/>
  <c r="L109" i="6"/>
  <c r="Q108" i="6"/>
  <c r="O108" i="6"/>
  <c r="P108" i="6"/>
  <c r="K108" i="6"/>
  <c r="M108" i="6"/>
  <c r="L108" i="6"/>
  <c r="Q107" i="6"/>
  <c r="O107" i="6"/>
  <c r="P107" i="6"/>
  <c r="K107" i="6"/>
  <c r="M107" i="6"/>
  <c r="L107" i="6"/>
  <c r="Q106" i="6"/>
  <c r="O106" i="6"/>
  <c r="P106" i="6"/>
  <c r="K106" i="6"/>
  <c r="M106" i="6"/>
  <c r="L106" i="6"/>
  <c r="Q105" i="6"/>
  <c r="O105" i="6"/>
  <c r="P105" i="6"/>
  <c r="K105" i="6"/>
  <c r="M105" i="6"/>
  <c r="L105" i="6"/>
  <c r="Q104" i="6"/>
  <c r="O104" i="6"/>
  <c r="P104" i="6"/>
  <c r="K104" i="6"/>
  <c r="M104" i="6"/>
  <c r="L104" i="6"/>
  <c r="Q103" i="6"/>
  <c r="O103" i="6"/>
  <c r="P103" i="6"/>
  <c r="K103" i="6"/>
  <c r="M103" i="6"/>
  <c r="L103" i="6"/>
  <c r="Q102" i="6"/>
  <c r="O102" i="6"/>
  <c r="P102" i="6"/>
  <c r="K102" i="6"/>
  <c r="M102" i="6"/>
  <c r="L102" i="6"/>
  <c r="Q101" i="6"/>
  <c r="O101" i="6"/>
  <c r="P101" i="6"/>
  <c r="K101" i="6"/>
  <c r="M101" i="6"/>
  <c r="L101" i="6"/>
  <c r="Q100" i="6"/>
  <c r="O100" i="6"/>
  <c r="P100" i="6"/>
  <c r="K100" i="6"/>
  <c r="M100" i="6"/>
  <c r="L100" i="6"/>
  <c r="Q99" i="6"/>
  <c r="O99" i="6"/>
  <c r="P99" i="6"/>
  <c r="K99" i="6"/>
  <c r="M99" i="6"/>
  <c r="L99" i="6"/>
  <c r="Q98" i="6"/>
  <c r="O98" i="6"/>
  <c r="P98" i="6"/>
  <c r="K98" i="6"/>
  <c r="M98" i="6"/>
  <c r="L98" i="6"/>
  <c r="H97" i="6"/>
  <c r="Q97" i="6" s="1"/>
  <c r="Q96" i="6"/>
  <c r="O96" i="6"/>
  <c r="P96" i="6"/>
  <c r="K96" i="6"/>
  <c r="M96" i="6"/>
  <c r="L96" i="6"/>
  <c r="H95" i="6"/>
  <c r="R95" i="6" s="1"/>
  <c r="H94" i="6"/>
  <c r="N94" i="6" s="1"/>
  <c r="H93" i="6"/>
  <c r="N93" i="6" s="1"/>
  <c r="H92" i="6"/>
  <c r="R92" i="6" s="1"/>
  <c r="H91" i="6"/>
  <c r="Q91" i="6" s="1"/>
  <c r="Q90" i="6"/>
  <c r="O90" i="6"/>
  <c r="P90" i="6"/>
  <c r="K90" i="6"/>
  <c r="M90" i="6"/>
  <c r="L90" i="6"/>
  <c r="Q89" i="6"/>
  <c r="O89" i="6"/>
  <c r="P89" i="6"/>
  <c r="K89" i="6"/>
  <c r="M89" i="6"/>
  <c r="L89" i="6"/>
  <c r="Q88" i="6"/>
  <c r="O88" i="6"/>
  <c r="P88" i="6"/>
  <c r="K88" i="6"/>
  <c r="M88" i="6"/>
  <c r="L88" i="6"/>
  <c r="Q87" i="6"/>
  <c r="O87" i="6"/>
  <c r="P87" i="6"/>
  <c r="K87" i="6"/>
  <c r="M87" i="6"/>
  <c r="L87" i="6"/>
  <c r="H86" i="6"/>
  <c r="O86" i="6" s="1"/>
  <c r="Q85" i="6"/>
  <c r="O85" i="6"/>
  <c r="P85" i="6"/>
  <c r="K85" i="6"/>
  <c r="M85" i="6"/>
  <c r="L85" i="6"/>
  <c r="Q84" i="6"/>
  <c r="O84" i="6"/>
  <c r="P84" i="6"/>
  <c r="K84" i="6"/>
  <c r="M84" i="6"/>
  <c r="L84" i="6"/>
  <c r="Q83" i="6"/>
  <c r="O83" i="6"/>
  <c r="P83" i="6"/>
  <c r="K83" i="6"/>
  <c r="M83" i="6"/>
  <c r="L83" i="6"/>
  <c r="Q82" i="6"/>
  <c r="O82" i="6"/>
  <c r="P82" i="6"/>
  <c r="K82" i="6"/>
  <c r="M82" i="6"/>
  <c r="L82" i="6"/>
  <c r="Q81" i="6"/>
  <c r="O81" i="6"/>
  <c r="P81" i="6"/>
  <c r="K81" i="6"/>
  <c r="M81" i="6"/>
  <c r="L81" i="6"/>
  <c r="Q80" i="6"/>
  <c r="O80" i="6"/>
  <c r="P80" i="6"/>
  <c r="K80" i="6"/>
  <c r="M80" i="6"/>
  <c r="L80" i="6"/>
  <c r="Q79" i="6"/>
  <c r="O79" i="6"/>
  <c r="P79" i="6"/>
  <c r="K79" i="6"/>
  <c r="M79" i="6"/>
  <c r="L79" i="6"/>
  <c r="Q78" i="6"/>
  <c r="O78" i="6"/>
  <c r="P78" i="6"/>
  <c r="K78" i="6"/>
  <c r="M78" i="6"/>
  <c r="L78" i="6"/>
  <c r="Q77" i="6"/>
  <c r="O77" i="6"/>
  <c r="P77" i="6"/>
  <c r="K77" i="6"/>
  <c r="M77" i="6"/>
  <c r="L77" i="6"/>
  <c r="Q76" i="6"/>
  <c r="O76" i="6"/>
  <c r="P76" i="6"/>
  <c r="K76" i="6"/>
  <c r="M76" i="6"/>
  <c r="L76" i="6"/>
  <c r="Q75" i="6"/>
  <c r="O75" i="6"/>
  <c r="P75" i="6"/>
  <c r="K75" i="6"/>
  <c r="M75" i="6"/>
  <c r="L75" i="6"/>
  <c r="H74" i="6"/>
  <c r="O74" i="6" s="1"/>
  <c r="H73" i="6"/>
  <c r="N73" i="6" s="1"/>
  <c r="H72" i="6"/>
  <c r="R72" i="6" s="1"/>
  <c r="H71" i="6"/>
  <c r="R71" i="6" s="1"/>
  <c r="Q70" i="6"/>
  <c r="O70" i="6"/>
  <c r="P70" i="6"/>
  <c r="K70" i="6"/>
  <c r="M70" i="6"/>
  <c r="L70" i="6"/>
  <c r="Q69" i="6"/>
  <c r="O69" i="6"/>
  <c r="P69" i="6"/>
  <c r="K69" i="6"/>
  <c r="M69" i="6"/>
  <c r="L69" i="6"/>
  <c r="H68" i="6"/>
  <c r="R68" i="6" s="1"/>
  <c r="Q67" i="6"/>
  <c r="O67" i="6"/>
  <c r="P67" i="6"/>
  <c r="K67" i="6"/>
  <c r="M67" i="6"/>
  <c r="L67" i="6"/>
  <c r="Q66" i="6"/>
  <c r="O66" i="6"/>
  <c r="P66" i="6"/>
  <c r="K66" i="6"/>
  <c r="M66" i="6"/>
  <c r="L66" i="6"/>
  <c r="Q65" i="6"/>
  <c r="O65" i="6"/>
  <c r="P65" i="6"/>
  <c r="K65" i="6"/>
  <c r="M65" i="6"/>
  <c r="L65" i="6"/>
  <c r="Q64" i="6"/>
  <c r="O64" i="6"/>
  <c r="P64" i="6"/>
  <c r="K64" i="6"/>
  <c r="M64" i="6"/>
  <c r="L64" i="6"/>
  <c r="H63" i="6"/>
  <c r="R63" i="6" s="1"/>
  <c r="Q62" i="6"/>
  <c r="O62" i="6"/>
  <c r="P62" i="6"/>
  <c r="K62" i="6"/>
  <c r="M62" i="6"/>
  <c r="L62" i="6"/>
  <c r="Q61" i="6"/>
  <c r="O61" i="6"/>
  <c r="P61" i="6"/>
  <c r="K61" i="6"/>
  <c r="M61" i="6"/>
  <c r="L61" i="6"/>
  <c r="Q60" i="6"/>
  <c r="O60" i="6"/>
  <c r="P60" i="6"/>
  <c r="K60" i="6"/>
  <c r="M60" i="6"/>
  <c r="L60" i="6"/>
  <c r="Q59" i="6"/>
  <c r="O59" i="6"/>
  <c r="P59" i="6"/>
  <c r="K59" i="6"/>
  <c r="M59" i="6"/>
  <c r="L59" i="6"/>
  <c r="H58" i="6"/>
  <c r="N58" i="6" s="1"/>
  <c r="Q57" i="6"/>
  <c r="O57" i="6"/>
  <c r="P57" i="6"/>
  <c r="K57" i="6"/>
  <c r="M57" i="6"/>
  <c r="L57" i="6"/>
  <c r="Q56" i="6"/>
  <c r="O56" i="6"/>
  <c r="P56" i="6"/>
  <c r="K56" i="6"/>
  <c r="M56" i="6"/>
  <c r="L56" i="6"/>
  <c r="H55" i="6"/>
  <c r="O55" i="6" s="1"/>
  <c r="Q54" i="6"/>
  <c r="O54" i="6"/>
  <c r="P54" i="6"/>
  <c r="K54" i="6"/>
  <c r="M54" i="6"/>
  <c r="L54" i="6"/>
  <c r="Q53" i="6"/>
  <c r="O53" i="6"/>
  <c r="P53" i="6"/>
  <c r="K53" i="6"/>
  <c r="M53" i="6"/>
  <c r="L53" i="6"/>
  <c r="Q52" i="6"/>
  <c r="O52" i="6"/>
  <c r="P52" i="6"/>
  <c r="K52" i="6"/>
  <c r="M52" i="6"/>
  <c r="L52" i="6"/>
  <c r="Q51" i="6"/>
  <c r="O51" i="6"/>
  <c r="P51" i="6"/>
  <c r="K51" i="6"/>
  <c r="M51" i="6"/>
  <c r="L51" i="6"/>
  <c r="Q50" i="6"/>
  <c r="O50" i="6"/>
  <c r="P50" i="6"/>
  <c r="K50" i="6"/>
  <c r="M50" i="6"/>
  <c r="L50" i="6"/>
  <c r="Q49" i="6"/>
  <c r="O49" i="6"/>
  <c r="P49" i="6"/>
  <c r="K49" i="6"/>
  <c r="M49" i="6"/>
  <c r="L49" i="6"/>
  <c r="Q48" i="6"/>
  <c r="O48" i="6"/>
  <c r="P48" i="6"/>
  <c r="K48" i="6"/>
  <c r="M48" i="6"/>
  <c r="L48" i="6"/>
  <c r="Q47" i="6"/>
  <c r="O47" i="6"/>
  <c r="P47" i="6"/>
  <c r="K47" i="6"/>
  <c r="M47" i="6"/>
  <c r="L47" i="6"/>
  <c r="Q46" i="6"/>
  <c r="O46" i="6"/>
  <c r="P46" i="6"/>
  <c r="K46" i="6"/>
  <c r="M46" i="6"/>
  <c r="L46" i="6"/>
  <c r="Q45" i="6"/>
  <c r="O45" i="6"/>
  <c r="P45" i="6"/>
  <c r="K45" i="6"/>
  <c r="M45" i="6"/>
  <c r="L45" i="6"/>
  <c r="Q44" i="6"/>
  <c r="O44" i="6"/>
  <c r="P44" i="6"/>
  <c r="K44" i="6"/>
  <c r="M44" i="6"/>
  <c r="L44" i="6"/>
  <c r="Q43" i="6"/>
  <c r="O43" i="6"/>
  <c r="P43" i="6"/>
  <c r="K43" i="6"/>
  <c r="M43" i="6"/>
  <c r="L43" i="6"/>
  <c r="Q42" i="6"/>
  <c r="O42" i="6"/>
  <c r="P42" i="6"/>
  <c r="K42" i="6"/>
  <c r="M42" i="6"/>
  <c r="L42" i="6"/>
  <c r="Q41" i="6"/>
  <c r="O41" i="6"/>
  <c r="P41" i="6"/>
  <c r="K41" i="6"/>
  <c r="M41" i="6"/>
  <c r="L41" i="6"/>
  <c r="Q40" i="6"/>
  <c r="O40" i="6"/>
  <c r="P40" i="6"/>
  <c r="K40" i="6"/>
  <c r="M40" i="6"/>
  <c r="L40" i="6"/>
  <c r="Q39" i="6"/>
  <c r="O39" i="6"/>
  <c r="P39" i="6"/>
  <c r="K39" i="6"/>
  <c r="M39" i="6"/>
  <c r="L39" i="6"/>
  <c r="Q38" i="6"/>
  <c r="O38" i="6"/>
  <c r="P38" i="6"/>
  <c r="K38" i="6"/>
  <c r="M38" i="6"/>
  <c r="L38" i="6"/>
  <c r="Q37" i="6"/>
  <c r="O37" i="6"/>
  <c r="P37" i="6"/>
  <c r="K37" i="6"/>
  <c r="M37" i="6"/>
  <c r="L37" i="6"/>
  <c r="Q36" i="6"/>
  <c r="O36" i="6"/>
  <c r="P36" i="6"/>
  <c r="K36" i="6"/>
  <c r="M36" i="6"/>
  <c r="L36" i="6"/>
  <c r="Q35" i="6"/>
  <c r="O35" i="6"/>
  <c r="P35" i="6"/>
  <c r="K35" i="6"/>
  <c r="M35" i="6"/>
  <c r="L35" i="6"/>
  <c r="Q34" i="6"/>
  <c r="O34" i="6"/>
  <c r="P34" i="6"/>
  <c r="K34" i="6"/>
  <c r="M34" i="6"/>
  <c r="L34" i="6"/>
  <c r="Q33" i="6"/>
  <c r="O33" i="6"/>
  <c r="P33" i="6"/>
  <c r="K33" i="6"/>
  <c r="M33" i="6"/>
  <c r="L33" i="6"/>
  <c r="Q32" i="6"/>
  <c r="O32" i="6"/>
  <c r="P32" i="6"/>
  <c r="K32" i="6"/>
  <c r="M32" i="6"/>
  <c r="L32" i="6"/>
  <c r="Q31" i="6"/>
  <c r="O31" i="6"/>
  <c r="P31" i="6"/>
  <c r="K31" i="6"/>
  <c r="M31" i="6"/>
  <c r="L31" i="6"/>
  <c r="Q30" i="6"/>
  <c r="O30" i="6"/>
  <c r="P30" i="6"/>
  <c r="K30" i="6"/>
  <c r="M30" i="6"/>
  <c r="L30" i="6"/>
  <c r="Q29" i="6"/>
  <c r="O29" i="6"/>
  <c r="P29" i="6"/>
  <c r="K29" i="6"/>
  <c r="M29" i="6"/>
  <c r="L29" i="6"/>
  <c r="Q28" i="6"/>
  <c r="O28" i="6"/>
  <c r="P28" i="6"/>
  <c r="K28" i="6"/>
  <c r="M28" i="6"/>
  <c r="L28" i="6"/>
  <c r="Q27" i="6"/>
  <c r="O27" i="6"/>
  <c r="P27" i="6"/>
  <c r="K27" i="6"/>
  <c r="M27" i="6"/>
  <c r="L27" i="6"/>
  <c r="Q26" i="6"/>
  <c r="O26" i="6"/>
  <c r="P26" i="6"/>
  <c r="K26" i="6"/>
  <c r="M26" i="6"/>
  <c r="L26" i="6"/>
  <c r="Q25" i="6"/>
  <c r="O25" i="6"/>
  <c r="P25" i="6"/>
  <c r="K25" i="6"/>
  <c r="M25" i="6"/>
  <c r="L25" i="6"/>
  <c r="Q24" i="6"/>
  <c r="O24" i="6"/>
  <c r="P24" i="6"/>
  <c r="K24" i="6"/>
  <c r="M24" i="6"/>
  <c r="L24" i="6"/>
  <c r="Q23" i="6"/>
  <c r="O23" i="6"/>
  <c r="P23" i="6"/>
  <c r="K23" i="6"/>
  <c r="M23" i="6"/>
  <c r="L23" i="6"/>
  <c r="Q22" i="6"/>
  <c r="O22" i="6"/>
  <c r="P22" i="6"/>
  <c r="K22" i="6"/>
  <c r="M22" i="6"/>
  <c r="L22" i="6"/>
  <c r="Q21" i="6"/>
  <c r="O21" i="6"/>
  <c r="P21" i="6"/>
  <c r="K21" i="6"/>
  <c r="M21" i="6"/>
  <c r="L21" i="6"/>
  <c r="Q20" i="6"/>
  <c r="O20" i="6"/>
  <c r="P20" i="6"/>
  <c r="K20" i="6"/>
  <c r="M20" i="6"/>
  <c r="L20" i="6"/>
  <c r="Q19" i="6"/>
  <c r="O19" i="6"/>
  <c r="P19" i="6"/>
  <c r="K19" i="6"/>
  <c r="M19" i="6"/>
  <c r="L19" i="6"/>
  <c r="Q18" i="6"/>
  <c r="O18" i="6"/>
  <c r="P18" i="6"/>
  <c r="K18" i="6"/>
  <c r="M18" i="6"/>
  <c r="L18" i="6"/>
  <c r="Q17" i="6"/>
  <c r="O17" i="6"/>
  <c r="P17" i="6"/>
  <c r="K17" i="6"/>
  <c r="M17" i="6"/>
  <c r="L17" i="6"/>
  <c r="Q16" i="6"/>
  <c r="O16" i="6"/>
  <c r="P16" i="6"/>
  <c r="K16" i="6"/>
  <c r="M16" i="6"/>
  <c r="L16" i="6"/>
  <c r="Q15" i="6"/>
  <c r="O15" i="6"/>
  <c r="P15" i="6"/>
  <c r="K15" i="6"/>
  <c r="M15" i="6"/>
  <c r="L15" i="6"/>
  <c r="Q14" i="6"/>
  <c r="O14" i="6"/>
  <c r="P14" i="6"/>
  <c r="K14" i="6"/>
  <c r="M14" i="6"/>
  <c r="L14" i="6"/>
  <c r="Q13" i="6"/>
  <c r="O13" i="6"/>
  <c r="P13" i="6"/>
  <c r="K13" i="6"/>
  <c r="M13" i="6"/>
  <c r="L13" i="6"/>
  <c r="Q12" i="6"/>
  <c r="O12" i="6"/>
  <c r="P12" i="6"/>
  <c r="K12" i="6"/>
  <c r="M12" i="6"/>
  <c r="L12" i="6"/>
  <c r="Q11" i="6"/>
  <c r="O11" i="6"/>
  <c r="P11" i="6"/>
  <c r="K11" i="6"/>
  <c r="M11" i="6"/>
  <c r="L11" i="6"/>
  <c r="Q10" i="6"/>
  <c r="O10" i="6"/>
  <c r="P10" i="6"/>
  <c r="K10" i="6"/>
  <c r="M10" i="6"/>
  <c r="L10" i="6"/>
  <c r="Q9" i="6"/>
  <c r="O9" i="6"/>
  <c r="P9" i="6"/>
  <c r="K9" i="6"/>
  <c r="M9" i="6"/>
  <c r="L9" i="6"/>
  <c r="Q8" i="6"/>
  <c r="O8" i="6"/>
  <c r="P8" i="6"/>
  <c r="K8" i="6"/>
  <c r="M8" i="6"/>
  <c r="L8" i="6"/>
  <c r="Q7" i="6"/>
  <c r="O7" i="6"/>
  <c r="P7" i="6"/>
  <c r="K7" i="6"/>
  <c r="M7" i="6"/>
  <c r="L7" i="6"/>
  <c r="Q6" i="6"/>
  <c r="O6" i="6"/>
  <c r="P6" i="6"/>
  <c r="K6" i="6"/>
  <c r="M6" i="6"/>
  <c r="L6" i="6"/>
  <c r="Q5" i="6"/>
  <c r="O5" i="6"/>
  <c r="P5" i="6"/>
  <c r="K5" i="6"/>
  <c r="M5" i="6"/>
  <c r="L5" i="6"/>
  <c r="Q4" i="6"/>
  <c r="O4" i="6"/>
  <c r="P4" i="6"/>
  <c r="K4" i="6"/>
  <c r="M4" i="6"/>
  <c r="L4" i="6"/>
  <c r="Q3" i="6"/>
  <c r="O3" i="6"/>
  <c r="P3" i="6"/>
  <c r="K3" i="6"/>
  <c r="M3" i="6"/>
  <c r="L3" i="6"/>
  <c r="Q2" i="6"/>
  <c r="O2" i="6"/>
  <c r="P2" i="6"/>
  <c r="K2" i="6"/>
  <c r="M2" i="6"/>
  <c r="L2" i="6"/>
  <c r="S179" i="5"/>
  <c r="R179" i="5"/>
  <c r="Q179" i="5"/>
  <c r="P179" i="5"/>
  <c r="O179" i="5"/>
  <c r="N179" i="5"/>
  <c r="M179" i="5"/>
  <c r="L179" i="5"/>
  <c r="K179" i="5"/>
  <c r="H178" i="5"/>
  <c r="R178" i="5" s="1"/>
  <c r="H177" i="5"/>
  <c r="Q177" i="5" s="1"/>
  <c r="S176" i="5"/>
  <c r="R176" i="5"/>
  <c r="Q176" i="5"/>
  <c r="P176" i="5"/>
  <c r="O176" i="5"/>
  <c r="N176" i="5"/>
  <c r="M176" i="5"/>
  <c r="L176" i="5"/>
  <c r="K176" i="5"/>
  <c r="H175" i="5"/>
  <c r="S175" i="5" s="1"/>
  <c r="S174" i="5"/>
  <c r="R174" i="5"/>
  <c r="Q174" i="5"/>
  <c r="P174" i="5"/>
  <c r="O174" i="5"/>
  <c r="N174" i="5"/>
  <c r="M174" i="5"/>
  <c r="L174" i="5"/>
  <c r="K174" i="5"/>
  <c r="S173" i="5"/>
  <c r="R173" i="5"/>
  <c r="Q173" i="5"/>
  <c r="P173" i="5"/>
  <c r="O173" i="5"/>
  <c r="N173" i="5"/>
  <c r="M173" i="5"/>
  <c r="L173" i="5"/>
  <c r="K173" i="5"/>
  <c r="S172" i="5"/>
  <c r="R172" i="5"/>
  <c r="Q172" i="5"/>
  <c r="P172" i="5"/>
  <c r="O172" i="5"/>
  <c r="N172" i="5"/>
  <c r="M172" i="5"/>
  <c r="L172" i="5"/>
  <c r="K172" i="5"/>
  <c r="S171" i="5"/>
  <c r="R171" i="5"/>
  <c r="Q171" i="5"/>
  <c r="P171" i="5"/>
  <c r="O171" i="5"/>
  <c r="N171" i="5"/>
  <c r="M171" i="5"/>
  <c r="L171" i="5"/>
  <c r="K171" i="5"/>
  <c r="S170" i="5"/>
  <c r="R170" i="5"/>
  <c r="Q170" i="5"/>
  <c r="P170" i="5"/>
  <c r="O170" i="5"/>
  <c r="N170" i="5"/>
  <c r="M170" i="5"/>
  <c r="L170" i="5"/>
  <c r="K170" i="5"/>
  <c r="S169" i="5"/>
  <c r="R169" i="5"/>
  <c r="Q169" i="5"/>
  <c r="P169" i="5"/>
  <c r="O169" i="5"/>
  <c r="N169" i="5"/>
  <c r="M169" i="5"/>
  <c r="L169" i="5"/>
  <c r="K169" i="5"/>
  <c r="S168" i="5"/>
  <c r="R168" i="5"/>
  <c r="Q168" i="5"/>
  <c r="P168" i="5"/>
  <c r="O168" i="5"/>
  <c r="N168" i="5"/>
  <c r="M168" i="5"/>
  <c r="L168" i="5"/>
  <c r="K168" i="5"/>
  <c r="S167" i="5"/>
  <c r="R167" i="5"/>
  <c r="Q167" i="5"/>
  <c r="P167" i="5"/>
  <c r="O167" i="5"/>
  <c r="N167" i="5"/>
  <c r="M167" i="5"/>
  <c r="L167" i="5"/>
  <c r="K167" i="5"/>
  <c r="S166" i="5"/>
  <c r="R166" i="5"/>
  <c r="Q166" i="5"/>
  <c r="P166" i="5"/>
  <c r="O166" i="5"/>
  <c r="N166" i="5"/>
  <c r="M166" i="5"/>
  <c r="L166" i="5"/>
  <c r="K166" i="5"/>
  <c r="S165" i="5"/>
  <c r="R165" i="5"/>
  <c r="Q165" i="5"/>
  <c r="P165" i="5"/>
  <c r="O165" i="5"/>
  <c r="W165" i="5" s="1"/>
  <c r="N165" i="5"/>
  <c r="M165" i="5"/>
  <c r="L165" i="5"/>
  <c r="K165" i="5"/>
  <c r="S164" i="5"/>
  <c r="R164" i="5"/>
  <c r="Q164" i="5"/>
  <c r="P164" i="5"/>
  <c r="V164" i="5" s="1"/>
  <c r="O164" i="5"/>
  <c r="N164" i="5"/>
  <c r="M164" i="5"/>
  <c r="L164" i="5"/>
  <c r="K164" i="5"/>
  <c r="H163" i="5"/>
  <c r="R163" i="5" s="1"/>
  <c r="H162" i="5"/>
  <c r="Q162" i="5" s="1"/>
  <c r="Q161" i="5"/>
  <c r="L161" i="5"/>
  <c r="K161" i="5"/>
  <c r="H161" i="5"/>
  <c r="O161" i="5" s="1"/>
  <c r="S160" i="5"/>
  <c r="R160" i="5"/>
  <c r="Q160" i="5"/>
  <c r="P160" i="5"/>
  <c r="O160" i="5"/>
  <c r="N160" i="5"/>
  <c r="M160" i="5"/>
  <c r="L160" i="5"/>
  <c r="K160" i="5"/>
  <c r="S159" i="5"/>
  <c r="R159" i="5"/>
  <c r="Q159" i="5"/>
  <c r="P159" i="5"/>
  <c r="O159" i="5"/>
  <c r="N159" i="5"/>
  <c r="M159" i="5"/>
  <c r="L159" i="5"/>
  <c r="K159" i="5"/>
  <c r="S158" i="5"/>
  <c r="R158" i="5"/>
  <c r="Q158" i="5"/>
  <c r="P158" i="5"/>
  <c r="O158" i="5"/>
  <c r="N158" i="5"/>
  <c r="M158" i="5"/>
  <c r="L158" i="5"/>
  <c r="K158" i="5"/>
  <c r="S157" i="5"/>
  <c r="R157" i="5"/>
  <c r="Q157" i="5"/>
  <c r="P157" i="5"/>
  <c r="V157" i="5" s="1"/>
  <c r="O157" i="5"/>
  <c r="N157" i="5"/>
  <c r="M157" i="5"/>
  <c r="L157" i="5"/>
  <c r="T157" i="5" s="1"/>
  <c r="K157" i="5"/>
  <c r="S156" i="5"/>
  <c r="R156" i="5"/>
  <c r="Q156" i="5"/>
  <c r="P156" i="5"/>
  <c r="O156" i="5"/>
  <c r="N156" i="5"/>
  <c r="M156" i="5"/>
  <c r="L156" i="5"/>
  <c r="K156" i="5"/>
  <c r="S155" i="5"/>
  <c r="R155" i="5"/>
  <c r="V155" i="5" s="1"/>
  <c r="Q155" i="5"/>
  <c r="P155" i="5"/>
  <c r="O155" i="5"/>
  <c r="N155" i="5"/>
  <c r="M155" i="5"/>
  <c r="L155" i="5"/>
  <c r="K155" i="5"/>
  <c r="S154" i="5"/>
  <c r="R154" i="5"/>
  <c r="Q154" i="5"/>
  <c r="P154" i="5"/>
  <c r="O154" i="5"/>
  <c r="N154" i="5"/>
  <c r="M154" i="5"/>
  <c r="L154" i="5"/>
  <c r="K154" i="5"/>
  <c r="H153" i="5"/>
  <c r="L153" i="5" s="1"/>
  <c r="S152" i="5"/>
  <c r="R152" i="5"/>
  <c r="Q152" i="5"/>
  <c r="P152" i="5"/>
  <c r="O152" i="5"/>
  <c r="N152" i="5"/>
  <c r="M152" i="5"/>
  <c r="L152" i="5"/>
  <c r="K152" i="5"/>
  <c r="S151" i="5"/>
  <c r="R151" i="5"/>
  <c r="Q151" i="5"/>
  <c r="P151" i="5"/>
  <c r="O151" i="5"/>
  <c r="N151" i="5"/>
  <c r="M151" i="5"/>
  <c r="L151" i="5"/>
  <c r="K151" i="5"/>
  <c r="S150" i="5"/>
  <c r="R150" i="5"/>
  <c r="Q150" i="5"/>
  <c r="P150" i="5"/>
  <c r="O150" i="5"/>
  <c r="N150" i="5"/>
  <c r="M150" i="5"/>
  <c r="L150" i="5"/>
  <c r="K150" i="5"/>
  <c r="S149" i="5"/>
  <c r="R149" i="5"/>
  <c r="Q149" i="5"/>
  <c r="P149" i="5"/>
  <c r="O149" i="5"/>
  <c r="N149" i="5"/>
  <c r="M149" i="5"/>
  <c r="L149" i="5"/>
  <c r="K149" i="5"/>
  <c r="S148" i="5"/>
  <c r="R148" i="5"/>
  <c r="Q148" i="5"/>
  <c r="P148" i="5"/>
  <c r="O148" i="5"/>
  <c r="N148" i="5"/>
  <c r="M148" i="5"/>
  <c r="L148" i="5"/>
  <c r="K148" i="5"/>
  <c r="S147" i="5"/>
  <c r="R147" i="5"/>
  <c r="Q147" i="5"/>
  <c r="P147" i="5"/>
  <c r="O147" i="5"/>
  <c r="N147" i="5"/>
  <c r="M147" i="5"/>
  <c r="L147" i="5"/>
  <c r="K147" i="5"/>
  <c r="S146" i="5"/>
  <c r="R146" i="5"/>
  <c r="Q146" i="5"/>
  <c r="P146" i="5"/>
  <c r="O146" i="5"/>
  <c r="N146" i="5"/>
  <c r="M146" i="5"/>
  <c r="L146" i="5"/>
  <c r="K146" i="5"/>
  <c r="S145" i="5"/>
  <c r="R145" i="5"/>
  <c r="Q145" i="5"/>
  <c r="P145" i="5"/>
  <c r="O145" i="5"/>
  <c r="N145" i="5"/>
  <c r="M145" i="5"/>
  <c r="L145" i="5"/>
  <c r="K145" i="5"/>
  <c r="S144" i="5"/>
  <c r="R144" i="5"/>
  <c r="Q144" i="5"/>
  <c r="P144" i="5"/>
  <c r="O144" i="5"/>
  <c r="N144" i="5"/>
  <c r="M144" i="5"/>
  <c r="L144" i="5"/>
  <c r="K144" i="5"/>
  <c r="S143" i="5"/>
  <c r="R143" i="5"/>
  <c r="Q143" i="5"/>
  <c r="P143" i="5"/>
  <c r="O143" i="5"/>
  <c r="N143" i="5"/>
  <c r="M143" i="5"/>
  <c r="L143" i="5"/>
  <c r="K143" i="5"/>
  <c r="S142" i="5"/>
  <c r="R142" i="5"/>
  <c r="Q142" i="5"/>
  <c r="P142" i="5"/>
  <c r="O142" i="5"/>
  <c r="N142" i="5"/>
  <c r="M142" i="5"/>
  <c r="L142" i="5"/>
  <c r="K142" i="5"/>
  <c r="S141" i="5"/>
  <c r="R141" i="5"/>
  <c r="Q141" i="5"/>
  <c r="P141" i="5"/>
  <c r="O141" i="5"/>
  <c r="N141" i="5"/>
  <c r="M141" i="5"/>
  <c r="L141" i="5"/>
  <c r="K141" i="5"/>
  <c r="S140" i="5"/>
  <c r="R140" i="5"/>
  <c r="Q140" i="5"/>
  <c r="P140" i="5"/>
  <c r="O140" i="5"/>
  <c r="N140" i="5"/>
  <c r="M140" i="5"/>
  <c r="L140" i="5"/>
  <c r="K140" i="5"/>
  <c r="S139" i="5"/>
  <c r="R139" i="5"/>
  <c r="Q139" i="5"/>
  <c r="P139" i="5"/>
  <c r="O139" i="5"/>
  <c r="N139" i="5"/>
  <c r="M139" i="5"/>
  <c r="L139" i="5"/>
  <c r="K139" i="5"/>
  <c r="S138" i="5"/>
  <c r="R138" i="5"/>
  <c r="Q138" i="5"/>
  <c r="P138" i="5"/>
  <c r="O138" i="5"/>
  <c r="N138" i="5"/>
  <c r="M138" i="5"/>
  <c r="L138" i="5"/>
  <c r="K138" i="5"/>
  <c r="S137" i="5"/>
  <c r="R137" i="5"/>
  <c r="Q137" i="5"/>
  <c r="P137" i="5"/>
  <c r="O137" i="5"/>
  <c r="N137" i="5"/>
  <c r="M137" i="5"/>
  <c r="L137" i="5"/>
  <c r="K137" i="5"/>
  <c r="S136" i="5"/>
  <c r="R136" i="5"/>
  <c r="Q136" i="5"/>
  <c r="P136" i="5"/>
  <c r="O136" i="5"/>
  <c r="N136" i="5"/>
  <c r="M136" i="5"/>
  <c r="L136" i="5"/>
  <c r="K136" i="5"/>
  <c r="S135" i="5"/>
  <c r="R135" i="5"/>
  <c r="Q135" i="5"/>
  <c r="P135" i="5"/>
  <c r="O135" i="5"/>
  <c r="N135" i="5"/>
  <c r="M135" i="5"/>
  <c r="L135" i="5"/>
  <c r="K135" i="5"/>
  <c r="S134" i="5"/>
  <c r="R134" i="5"/>
  <c r="Q134" i="5"/>
  <c r="P134" i="5"/>
  <c r="O134" i="5"/>
  <c r="N134" i="5"/>
  <c r="M134" i="5"/>
  <c r="L134" i="5"/>
  <c r="K134" i="5"/>
  <c r="S133" i="5"/>
  <c r="R133" i="5"/>
  <c r="Q133" i="5"/>
  <c r="P133" i="5"/>
  <c r="O133" i="5"/>
  <c r="N133" i="5"/>
  <c r="M133" i="5"/>
  <c r="L133" i="5"/>
  <c r="K133" i="5"/>
  <c r="S132" i="5"/>
  <c r="R132" i="5"/>
  <c r="Q132" i="5"/>
  <c r="P132" i="5"/>
  <c r="O132" i="5"/>
  <c r="N132" i="5"/>
  <c r="M132" i="5"/>
  <c r="L132" i="5"/>
  <c r="K132" i="5"/>
  <c r="S131" i="5"/>
  <c r="R131" i="5"/>
  <c r="Q131" i="5"/>
  <c r="P131" i="5"/>
  <c r="O131" i="5"/>
  <c r="N131" i="5"/>
  <c r="M131" i="5"/>
  <c r="L131" i="5"/>
  <c r="K131" i="5"/>
  <c r="S130" i="5"/>
  <c r="R130" i="5"/>
  <c r="Q130" i="5"/>
  <c r="P130" i="5"/>
  <c r="V130" i="5" s="1"/>
  <c r="O130" i="5"/>
  <c r="N130" i="5"/>
  <c r="M130" i="5"/>
  <c r="L130" i="5"/>
  <c r="U130" i="5" s="1"/>
  <c r="K130" i="5"/>
  <c r="S129" i="5"/>
  <c r="R129" i="5"/>
  <c r="Q129" i="5"/>
  <c r="P129" i="5"/>
  <c r="O129" i="5"/>
  <c r="N129" i="5"/>
  <c r="M129" i="5"/>
  <c r="L129" i="5"/>
  <c r="K129" i="5"/>
  <c r="S128" i="5"/>
  <c r="R128" i="5"/>
  <c r="Q128" i="5"/>
  <c r="P128" i="5"/>
  <c r="O128" i="5"/>
  <c r="N128" i="5"/>
  <c r="M128" i="5"/>
  <c r="L128" i="5"/>
  <c r="K128" i="5"/>
  <c r="S127" i="5"/>
  <c r="R127" i="5"/>
  <c r="Q127" i="5"/>
  <c r="P127" i="5"/>
  <c r="O127" i="5"/>
  <c r="N127" i="5"/>
  <c r="M127" i="5"/>
  <c r="L127" i="5"/>
  <c r="K127" i="5"/>
  <c r="S126" i="5"/>
  <c r="R126" i="5"/>
  <c r="Q126" i="5"/>
  <c r="P126" i="5"/>
  <c r="O126" i="5"/>
  <c r="N126" i="5"/>
  <c r="M126" i="5"/>
  <c r="L126" i="5"/>
  <c r="K126" i="5"/>
  <c r="S125" i="5"/>
  <c r="R125" i="5"/>
  <c r="Q125" i="5"/>
  <c r="P125" i="5"/>
  <c r="O125" i="5"/>
  <c r="N125" i="5"/>
  <c r="M125" i="5"/>
  <c r="L125" i="5"/>
  <c r="K125" i="5"/>
  <c r="S124" i="5"/>
  <c r="R124" i="5"/>
  <c r="Q124" i="5"/>
  <c r="P124" i="5"/>
  <c r="O124" i="5"/>
  <c r="N124" i="5"/>
  <c r="M124" i="5"/>
  <c r="L124" i="5"/>
  <c r="K124" i="5"/>
  <c r="S123" i="5"/>
  <c r="R123" i="5"/>
  <c r="Q123" i="5"/>
  <c r="P123" i="5"/>
  <c r="O123" i="5"/>
  <c r="N123" i="5"/>
  <c r="M123" i="5"/>
  <c r="L123" i="5"/>
  <c r="K123" i="5"/>
  <c r="S122" i="5"/>
  <c r="R122" i="5"/>
  <c r="Q122" i="5"/>
  <c r="P122" i="5"/>
  <c r="O122" i="5"/>
  <c r="N122" i="5"/>
  <c r="M122" i="5"/>
  <c r="L122" i="5"/>
  <c r="K122" i="5"/>
  <c r="S121" i="5"/>
  <c r="R121" i="5"/>
  <c r="Q121" i="5"/>
  <c r="P121" i="5"/>
  <c r="O121" i="5"/>
  <c r="N121" i="5"/>
  <c r="M121" i="5"/>
  <c r="L121" i="5"/>
  <c r="K121" i="5"/>
  <c r="S120" i="5"/>
  <c r="R120" i="5"/>
  <c r="Q120" i="5"/>
  <c r="P120" i="5"/>
  <c r="O120" i="5"/>
  <c r="N120" i="5"/>
  <c r="M120" i="5"/>
  <c r="L120" i="5"/>
  <c r="K120" i="5"/>
  <c r="H119" i="5"/>
  <c r="Q119" i="5" s="1"/>
  <c r="H118" i="5"/>
  <c r="Q118" i="5" s="1"/>
  <c r="S117" i="5"/>
  <c r="R117" i="5"/>
  <c r="Q117" i="5"/>
  <c r="P117" i="5"/>
  <c r="O117" i="5"/>
  <c r="N117" i="5"/>
  <c r="M117" i="5"/>
  <c r="L117" i="5"/>
  <c r="K117" i="5"/>
  <c r="S116" i="5"/>
  <c r="R116" i="5"/>
  <c r="Q116" i="5"/>
  <c r="P116" i="5"/>
  <c r="O116" i="5"/>
  <c r="N116" i="5"/>
  <c r="M116" i="5"/>
  <c r="L116" i="5"/>
  <c r="K116" i="5"/>
  <c r="S115" i="5"/>
  <c r="R115" i="5"/>
  <c r="Q115" i="5"/>
  <c r="P115" i="5"/>
  <c r="W115" i="5" s="1"/>
  <c r="O115" i="5"/>
  <c r="N115" i="5"/>
  <c r="M115" i="5"/>
  <c r="L115" i="5"/>
  <c r="K115" i="5"/>
  <c r="S114" i="5"/>
  <c r="R114" i="5"/>
  <c r="Q114" i="5"/>
  <c r="P114" i="5"/>
  <c r="O114" i="5"/>
  <c r="N114" i="5"/>
  <c r="M114" i="5"/>
  <c r="L114" i="5"/>
  <c r="K114" i="5"/>
  <c r="S113" i="5"/>
  <c r="R113" i="5"/>
  <c r="Q113" i="5"/>
  <c r="P113" i="5"/>
  <c r="O113" i="5"/>
  <c r="N113" i="5"/>
  <c r="M113" i="5"/>
  <c r="L113" i="5"/>
  <c r="K113" i="5"/>
  <c r="S112" i="5"/>
  <c r="R112" i="5"/>
  <c r="Q112" i="5"/>
  <c r="P112" i="5"/>
  <c r="O112" i="5"/>
  <c r="N112" i="5"/>
  <c r="M112" i="5"/>
  <c r="L112" i="5"/>
  <c r="K112" i="5"/>
  <c r="S111" i="5"/>
  <c r="R111" i="5"/>
  <c r="Q111" i="5"/>
  <c r="P111" i="5"/>
  <c r="O111" i="5"/>
  <c r="N111" i="5"/>
  <c r="M111" i="5"/>
  <c r="L111" i="5"/>
  <c r="K111" i="5"/>
  <c r="S110" i="5"/>
  <c r="R110" i="5"/>
  <c r="Q110" i="5"/>
  <c r="P110" i="5"/>
  <c r="O110" i="5"/>
  <c r="N110" i="5"/>
  <c r="M110" i="5"/>
  <c r="L110" i="5"/>
  <c r="K110" i="5"/>
  <c r="S109" i="5"/>
  <c r="R109" i="5"/>
  <c r="Q109" i="5"/>
  <c r="P109" i="5"/>
  <c r="O109" i="5"/>
  <c r="N109" i="5"/>
  <c r="M109" i="5"/>
  <c r="L109" i="5"/>
  <c r="K109" i="5"/>
  <c r="S108" i="5"/>
  <c r="R108" i="5"/>
  <c r="Q108" i="5"/>
  <c r="P108" i="5"/>
  <c r="O108" i="5"/>
  <c r="N108" i="5"/>
  <c r="M108" i="5"/>
  <c r="L108" i="5"/>
  <c r="K108" i="5"/>
  <c r="S107" i="5"/>
  <c r="R107" i="5"/>
  <c r="Q107" i="5"/>
  <c r="P107" i="5"/>
  <c r="O107" i="5"/>
  <c r="N107" i="5"/>
  <c r="M107" i="5"/>
  <c r="L107" i="5"/>
  <c r="K107" i="5"/>
  <c r="S106" i="5"/>
  <c r="R106" i="5"/>
  <c r="Q106" i="5"/>
  <c r="P106" i="5"/>
  <c r="O106" i="5"/>
  <c r="N106" i="5"/>
  <c r="M106" i="5"/>
  <c r="L106" i="5"/>
  <c r="K106" i="5"/>
  <c r="S105" i="5"/>
  <c r="R105" i="5"/>
  <c r="Q105" i="5"/>
  <c r="P105" i="5"/>
  <c r="O105" i="5"/>
  <c r="N105" i="5"/>
  <c r="M105" i="5"/>
  <c r="L105" i="5"/>
  <c r="K105" i="5"/>
  <c r="S104" i="5"/>
  <c r="R104" i="5"/>
  <c r="Q104" i="5"/>
  <c r="P104" i="5"/>
  <c r="O104" i="5"/>
  <c r="N104" i="5"/>
  <c r="M104" i="5"/>
  <c r="L104" i="5"/>
  <c r="K104" i="5"/>
  <c r="S103" i="5"/>
  <c r="R103" i="5"/>
  <c r="Q103" i="5"/>
  <c r="P103" i="5"/>
  <c r="O103" i="5"/>
  <c r="N103" i="5"/>
  <c r="M103" i="5"/>
  <c r="L103" i="5"/>
  <c r="K103" i="5"/>
  <c r="S102" i="5"/>
  <c r="R102" i="5"/>
  <c r="Q102" i="5"/>
  <c r="P102" i="5"/>
  <c r="O102" i="5"/>
  <c r="N102" i="5"/>
  <c r="M102" i="5"/>
  <c r="L102" i="5"/>
  <c r="K102" i="5"/>
  <c r="S101" i="5"/>
  <c r="R101" i="5"/>
  <c r="Q101" i="5"/>
  <c r="P101" i="5"/>
  <c r="O101" i="5"/>
  <c r="N101" i="5"/>
  <c r="M101" i="5"/>
  <c r="L101" i="5"/>
  <c r="K101" i="5"/>
  <c r="S100" i="5"/>
  <c r="R100" i="5"/>
  <c r="Q100" i="5"/>
  <c r="P100" i="5"/>
  <c r="O100" i="5"/>
  <c r="W100" i="5" s="1"/>
  <c r="N100" i="5"/>
  <c r="M100" i="5"/>
  <c r="L100" i="5"/>
  <c r="K100" i="5"/>
  <c r="S99" i="5"/>
  <c r="R99" i="5"/>
  <c r="Q99" i="5"/>
  <c r="P99" i="5"/>
  <c r="O99" i="5"/>
  <c r="N99" i="5"/>
  <c r="M99" i="5"/>
  <c r="L99" i="5"/>
  <c r="K99" i="5"/>
  <c r="S98" i="5"/>
  <c r="R98" i="5"/>
  <c r="Q98" i="5"/>
  <c r="P98" i="5"/>
  <c r="O98" i="5"/>
  <c r="N98" i="5"/>
  <c r="M98" i="5"/>
  <c r="L98" i="5"/>
  <c r="K98" i="5"/>
  <c r="H97" i="5"/>
  <c r="P97" i="5" s="1"/>
  <c r="S96" i="5"/>
  <c r="R96" i="5"/>
  <c r="Q96" i="5"/>
  <c r="P96" i="5"/>
  <c r="O96" i="5"/>
  <c r="N96" i="5"/>
  <c r="M96" i="5"/>
  <c r="L96" i="5"/>
  <c r="K96" i="5"/>
  <c r="H95" i="5"/>
  <c r="S95" i="5" s="1"/>
  <c r="O94" i="5"/>
  <c r="H94" i="5"/>
  <c r="P94" i="5" s="1"/>
  <c r="S93" i="5"/>
  <c r="M93" i="5"/>
  <c r="L93" i="5"/>
  <c r="H93" i="5"/>
  <c r="R93" i="5" s="1"/>
  <c r="H92" i="5"/>
  <c r="Q92" i="5" s="1"/>
  <c r="O91" i="5"/>
  <c r="M91" i="5"/>
  <c r="K91" i="5"/>
  <c r="H91" i="5"/>
  <c r="S91" i="5" s="1"/>
  <c r="S90" i="5"/>
  <c r="R90" i="5"/>
  <c r="Q90" i="5"/>
  <c r="P90" i="5"/>
  <c r="O90" i="5"/>
  <c r="N90" i="5"/>
  <c r="M90" i="5"/>
  <c r="L90" i="5"/>
  <c r="K90" i="5"/>
  <c r="S89" i="5"/>
  <c r="R89" i="5"/>
  <c r="Q89" i="5"/>
  <c r="P89" i="5"/>
  <c r="O89" i="5"/>
  <c r="N89" i="5"/>
  <c r="M89" i="5"/>
  <c r="L89" i="5"/>
  <c r="K89" i="5"/>
  <c r="S88" i="5"/>
  <c r="R88" i="5"/>
  <c r="Q88" i="5"/>
  <c r="P88" i="5"/>
  <c r="O88" i="5"/>
  <c r="N88" i="5"/>
  <c r="M88" i="5"/>
  <c r="L88" i="5"/>
  <c r="K88" i="5"/>
  <c r="S87" i="5"/>
  <c r="R87" i="5"/>
  <c r="Q87" i="5"/>
  <c r="P87" i="5"/>
  <c r="O87" i="5"/>
  <c r="N87" i="5"/>
  <c r="M87" i="5"/>
  <c r="L87" i="5"/>
  <c r="K87" i="5"/>
  <c r="S86" i="5"/>
  <c r="M86" i="5"/>
  <c r="K86" i="5"/>
  <c r="H86" i="5"/>
  <c r="P86" i="5" s="1"/>
  <c r="S85" i="5"/>
  <c r="R85" i="5"/>
  <c r="Q85" i="5"/>
  <c r="P85" i="5"/>
  <c r="O85" i="5"/>
  <c r="N85" i="5"/>
  <c r="M85" i="5"/>
  <c r="L85" i="5"/>
  <c r="K85" i="5"/>
  <c r="S84" i="5"/>
  <c r="R84" i="5"/>
  <c r="Q84" i="5"/>
  <c r="P84" i="5"/>
  <c r="O84" i="5"/>
  <c r="N84" i="5"/>
  <c r="M84" i="5"/>
  <c r="L84" i="5"/>
  <c r="K84" i="5"/>
  <c r="S83" i="5"/>
  <c r="R83" i="5"/>
  <c r="Q83" i="5"/>
  <c r="P83" i="5"/>
  <c r="O83" i="5"/>
  <c r="N83" i="5"/>
  <c r="M83" i="5"/>
  <c r="L83" i="5"/>
  <c r="K83" i="5"/>
  <c r="S82" i="5"/>
  <c r="R82" i="5"/>
  <c r="Q82" i="5"/>
  <c r="P82" i="5"/>
  <c r="O82" i="5"/>
  <c r="N82" i="5"/>
  <c r="M82" i="5"/>
  <c r="L82" i="5"/>
  <c r="K82" i="5"/>
  <c r="S81" i="5"/>
  <c r="R81" i="5"/>
  <c r="Q81" i="5"/>
  <c r="P81" i="5"/>
  <c r="O81" i="5"/>
  <c r="N81" i="5"/>
  <c r="M81" i="5"/>
  <c r="L81" i="5"/>
  <c r="K81" i="5"/>
  <c r="S80" i="5"/>
  <c r="R80" i="5"/>
  <c r="Q80" i="5"/>
  <c r="P80" i="5"/>
  <c r="O80" i="5"/>
  <c r="N80" i="5"/>
  <c r="M80" i="5"/>
  <c r="L80" i="5"/>
  <c r="K80" i="5"/>
  <c r="S79" i="5"/>
  <c r="R79" i="5"/>
  <c r="Q79" i="5"/>
  <c r="P79" i="5"/>
  <c r="O79" i="5"/>
  <c r="N79" i="5"/>
  <c r="M79" i="5"/>
  <c r="L79" i="5"/>
  <c r="K79" i="5"/>
  <c r="S78" i="5"/>
  <c r="R78" i="5"/>
  <c r="Q78" i="5"/>
  <c r="P78" i="5"/>
  <c r="O78" i="5"/>
  <c r="N78" i="5"/>
  <c r="M78" i="5"/>
  <c r="L78" i="5"/>
  <c r="K78" i="5"/>
  <c r="S77" i="5"/>
  <c r="R77" i="5"/>
  <c r="Q77" i="5"/>
  <c r="P77" i="5"/>
  <c r="O77" i="5"/>
  <c r="N77" i="5"/>
  <c r="M77" i="5"/>
  <c r="L77" i="5"/>
  <c r="K77" i="5"/>
  <c r="S76" i="5"/>
  <c r="R76" i="5"/>
  <c r="Q76" i="5"/>
  <c r="P76" i="5"/>
  <c r="O76" i="5"/>
  <c r="N76" i="5"/>
  <c r="M76" i="5"/>
  <c r="L76" i="5"/>
  <c r="K76" i="5"/>
  <c r="S75" i="5"/>
  <c r="R75" i="5"/>
  <c r="Q75" i="5"/>
  <c r="P75" i="5"/>
  <c r="O75" i="5"/>
  <c r="N75" i="5"/>
  <c r="M75" i="5"/>
  <c r="L75" i="5"/>
  <c r="K75" i="5"/>
  <c r="H74" i="5"/>
  <c r="R74" i="5" s="1"/>
  <c r="H73" i="5"/>
  <c r="S73" i="5" s="1"/>
  <c r="N72" i="5"/>
  <c r="H72" i="5"/>
  <c r="R72" i="5" s="1"/>
  <c r="H71" i="5"/>
  <c r="S71" i="5" s="1"/>
  <c r="S70" i="5"/>
  <c r="R70" i="5"/>
  <c r="Q70" i="5"/>
  <c r="P70" i="5"/>
  <c r="O70" i="5"/>
  <c r="N70" i="5"/>
  <c r="M70" i="5"/>
  <c r="L70" i="5"/>
  <c r="K70" i="5"/>
  <c r="S69" i="5"/>
  <c r="R69" i="5"/>
  <c r="Q69" i="5"/>
  <c r="P69" i="5"/>
  <c r="O69" i="5"/>
  <c r="N69" i="5"/>
  <c r="M69" i="5"/>
  <c r="L69" i="5"/>
  <c r="K69" i="5"/>
  <c r="H68" i="5"/>
  <c r="S68" i="5" s="1"/>
  <c r="S67" i="5"/>
  <c r="R67" i="5"/>
  <c r="Q67" i="5"/>
  <c r="P67" i="5"/>
  <c r="O67" i="5"/>
  <c r="N67" i="5"/>
  <c r="M67" i="5"/>
  <c r="L67" i="5"/>
  <c r="K67" i="5"/>
  <c r="S66" i="5"/>
  <c r="R66" i="5"/>
  <c r="Q66" i="5"/>
  <c r="P66" i="5"/>
  <c r="O66" i="5"/>
  <c r="N66" i="5"/>
  <c r="M66" i="5"/>
  <c r="L66" i="5"/>
  <c r="K66" i="5"/>
  <c r="S65" i="5"/>
  <c r="R65" i="5"/>
  <c r="Q65" i="5"/>
  <c r="P65" i="5"/>
  <c r="O65" i="5"/>
  <c r="N65" i="5"/>
  <c r="M65" i="5"/>
  <c r="L65" i="5"/>
  <c r="K65" i="5"/>
  <c r="S64" i="5"/>
  <c r="R64" i="5"/>
  <c r="Q64" i="5"/>
  <c r="P64" i="5"/>
  <c r="O64" i="5"/>
  <c r="N64" i="5"/>
  <c r="M64" i="5"/>
  <c r="L64" i="5"/>
  <c r="K64" i="5"/>
  <c r="H63" i="5"/>
  <c r="R63" i="5" s="1"/>
  <c r="S62" i="5"/>
  <c r="R62" i="5"/>
  <c r="Q62" i="5"/>
  <c r="P62" i="5"/>
  <c r="O62" i="5"/>
  <c r="N62" i="5"/>
  <c r="M62" i="5"/>
  <c r="L62" i="5"/>
  <c r="K62" i="5"/>
  <c r="S61" i="5"/>
  <c r="R61" i="5"/>
  <c r="Q61" i="5"/>
  <c r="P61" i="5"/>
  <c r="O61" i="5"/>
  <c r="N61" i="5"/>
  <c r="M61" i="5"/>
  <c r="L61" i="5"/>
  <c r="K61" i="5"/>
  <c r="S60" i="5"/>
  <c r="R60" i="5"/>
  <c r="Q60" i="5"/>
  <c r="P60" i="5"/>
  <c r="O60" i="5"/>
  <c r="N60" i="5"/>
  <c r="M60" i="5"/>
  <c r="L60" i="5"/>
  <c r="K60" i="5"/>
  <c r="S59" i="5"/>
  <c r="R59" i="5"/>
  <c r="Q59" i="5"/>
  <c r="P59" i="5"/>
  <c r="O59" i="5"/>
  <c r="N59" i="5"/>
  <c r="M59" i="5"/>
  <c r="L59" i="5"/>
  <c r="K59" i="5"/>
  <c r="H58" i="5"/>
  <c r="P58" i="5" s="1"/>
  <c r="S57" i="5"/>
  <c r="R57" i="5"/>
  <c r="Q57" i="5"/>
  <c r="P57" i="5"/>
  <c r="O57" i="5"/>
  <c r="N57" i="5"/>
  <c r="M57" i="5"/>
  <c r="L57" i="5"/>
  <c r="K57" i="5"/>
  <c r="S56" i="5"/>
  <c r="R56" i="5"/>
  <c r="Q56" i="5"/>
  <c r="P56" i="5"/>
  <c r="O56" i="5"/>
  <c r="N56" i="5"/>
  <c r="M56" i="5"/>
  <c r="L56" i="5"/>
  <c r="K56" i="5"/>
  <c r="H55" i="5"/>
  <c r="L55" i="5" s="1"/>
  <c r="S54" i="5"/>
  <c r="R54" i="5"/>
  <c r="Q54" i="5"/>
  <c r="P54" i="5"/>
  <c r="O54" i="5"/>
  <c r="N54" i="5"/>
  <c r="M54" i="5"/>
  <c r="L54" i="5"/>
  <c r="K54" i="5"/>
  <c r="S53" i="5"/>
  <c r="R53" i="5"/>
  <c r="Q53" i="5"/>
  <c r="P53" i="5"/>
  <c r="O53" i="5"/>
  <c r="N53" i="5"/>
  <c r="M53" i="5"/>
  <c r="L53" i="5"/>
  <c r="K53" i="5"/>
  <c r="S52" i="5"/>
  <c r="R52" i="5"/>
  <c r="Q52" i="5"/>
  <c r="P52" i="5"/>
  <c r="O52" i="5"/>
  <c r="N52" i="5"/>
  <c r="M52" i="5"/>
  <c r="L52" i="5"/>
  <c r="K52" i="5"/>
  <c r="S51" i="5"/>
  <c r="R51" i="5"/>
  <c r="Q51" i="5"/>
  <c r="P51" i="5"/>
  <c r="O51" i="5"/>
  <c r="N51" i="5"/>
  <c r="M51" i="5"/>
  <c r="L51" i="5"/>
  <c r="K51" i="5"/>
  <c r="S50" i="5"/>
  <c r="R50" i="5"/>
  <c r="Q50" i="5"/>
  <c r="P50" i="5"/>
  <c r="O50" i="5"/>
  <c r="N50" i="5"/>
  <c r="M50" i="5"/>
  <c r="L50" i="5"/>
  <c r="K50" i="5"/>
  <c r="S49" i="5"/>
  <c r="R49" i="5"/>
  <c r="Q49" i="5"/>
  <c r="P49" i="5"/>
  <c r="O49" i="5"/>
  <c r="W49" i="5" s="1"/>
  <c r="N49" i="5"/>
  <c r="M49" i="5"/>
  <c r="L49" i="5"/>
  <c r="K49" i="5"/>
  <c r="U49" i="5" s="1"/>
  <c r="S48" i="5"/>
  <c r="R48" i="5"/>
  <c r="Q48" i="5"/>
  <c r="P48" i="5"/>
  <c r="V48" i="5" s="1"/>
  <c r="O48" i="5"/>
  <c r="N48" i="5"/>
  <c r="M48" i="5"/>
  <c r="L48" i="5"/>
  <c r="T48" i="5" s="1"/>
  <c r="K48" i="5"/>
  <c r="S47" i="5"/>
  <c r="R47" i="5"/>
  <c r="Q47" i="5"/>
  <c r="P47" i="5"/>
  <c r="O47" i="5"/>
  <c r="N47" i="5"/>
  <c r="M47" i="5"/>
  <c r="L47" i="5"/>
  <c r="K47" i="5"/>
  <c r="S46" i="5"/>
  <c r="R46" i="5"/>
  <c r="Q46" i="5"/>
  <c r="P46" i="5"/>
  <c r="O46" i="5"/>
  <c r="N46" i="5"/>
  <c r="M46" i="5"/>
  <c r="L46" i="5"/>
  <c r="K46" i="5"/>
  <c r="S45" i="5"/>
  <c r="R45" i="5"/>
  <c r="Q45" i="5"/>
  <c r="P45" i="5"/>
  <c r="O45" i="5"/>
  <c r="N45" i="5"/>
  <c r="M45" i="5"/>
  <c r="L45" i="5"/>
  <c r="K45" i="5"/>
  <c r="S44" i="5"/>
  <c r="R44" i="5"/>
  <c r="Q44" i="5"/>
  <c r="P44" i="5"/>
  <c r="O44" i="5"/>
  <c r="N44" i="5"/>
  <c r="M44" i="5"/>
  <c r="L44" i="5"/>
  <c r="K44" i="5"/>
  <c r="S43" i="5"/>
  <c r="R43" i="5"/>
  <c r="Q43" i="5"/>
  <c r="P43" i="5"/>
  <c r="O43" i="5"/>
  <c r="N43" i="5"/>
  <c r="M43" i="5"/>
  <c r="L43" i="5"/>
  <c r="K43" i="5"/>
  <c r="S42" i="5"/>
  <c r="R42" i="5"/>
  <c r="Q42" i="5"/>
  <c r="P42" i="5"/>
  <c r="O42" i="5"/>
  <c r="N42" i="5"/>
  <c r="M42" i="5"/>
  <c r="L42" i="5"/>
  <c r="K42" i="5"/>
  <c r="S41" i="5"/>
  <c r="R41" i="5"/>
  <c r="Q41" i="5"/>
  <c r="P41" i="5"/>
  <c r="O41" i="5"/>
  <c r="N41" i="5"/>
  <c r="M41" i="5"/>
  <c r="L41" i="5"/>
  <c r="K41" i="5"/>
  <c r="S40" i="5"/>
  <c r="R40" i="5"/>
  <c r="Q40" i="5"/>
  <c r="P40" i="5"/>
  <c r="O40" i="5"/>
  <c r="N40" i="5"/>
  <c r="M40" i="5"/>
  <c r="L40" i="5"/>
  <c r="K40" i="5"/>
  <c r="S39" i="5"/>
  <c r="R39" i="5"/>
  <c r="Q39" i="5"/>
  <c r="P39" i="5"/>
  <c r="O39" i="5"/>
  <c r="N39" i="5"/>
  <c r="M39" i="5"/>
  <c r="L39" i="5"/>
  <c r="K39" i="5"/>
  <c r="S38" i="5"/>
  <c r="R38" i="5"/>
  <c r="Q38" i="5"/>
  <c r="P38" i="5"/>
  <c r="O38" i="5"/>
  <c r="N38" i="5"/>
  <c r="M38" i="5"/>
  <c r="L38" i="5"/>
  <c r="K38" i="5"/>
  <c r="S37" i="5"/>
  <c r="R37" i="5"/>
  <c r="Q37" i="5"/>
  <c r="P37" i="5"/>
  <c r="O37" i="5"/>
  <c r="N37" i="5"/>
  <c r="M37" i="5"/>
  <c r="L37" i="5"/>
  <c r="K37" i="5"/>
  <c r="S36" i="5"/>
  <c r="R36" i="5"/>
  <c r="Q36" i="5"/>
  <c r="P36" i="5"/>
  <c r="O36" i="5"/>
  <c r="N36" i="5"/>
  <c r="M36" i="5"/>
  <c r="L36" i="5"/>
  <c r="K36" i="5"/>
  <c r="S35" i="5"/>
  <c r="R35" i="5"/>
  <c r="Q35" i="5"/>
  <c r="P35" i="5"/>
  <c r="O35" i="5"/>
  <c r="N35" i="5"/>
  <c r="M35" i="5"/>
  <c r="L35" i="5"/>
  <c r="K35" i="5"/>
  <c r="S34" i="5"/>
  <c r="R34" i="5"/>
  <c r="Q34" i="5"/>
  <c r="P34" i="5"/>
  <c r="O34" i="5"/>
  <c r="N34" i="5"/>
  <c r="M34" i="5"/>
  <c r="L34" i="5"/>
  <c r="K34" i="5"/>
  <c r="S33" i="5"/>
  <c r="R33" i="5"/>
  <c r="Q33" i="5"/>
  <c r="P33" i="5"/>
  <c r="O33" i="5"/>
  <c r="N33" i="5"/>
  <c r="M33" i="5"/>
  <c r="L33" i="5"/>
  <c r="K33" i="5"/>
  <c r="S32" i="5"/>
  <c r="R32" i="5"/>
  <c r="Q32" i="5"/>
  <c r="P32" i="5"/>
  <c r="O32" i="5"/>
  <c r="N32" i="5"/>
  <c r="M32" i="5"/>
  <c r="L32" i="5"/>
  <c r="K32" i="5"/>
  <c r="S31" i="5"/>
  <c r="R31" i="5"/>
  <c r="Q31" i="5"/>
  <c r="P31" i="5"/>
  <c r="O31" i="5"/>
  <c r="N31" i="5"/>
  <c r="M31" i="5"/>
  <c r="L31" i="5"/>
  <c r="K31" i="5"/>
  <c r="S30" i="5"/>
  <c r="R30" i="5"/>
  <c r="Q30" i="5"/>
  <c r="P30" i="5"/>
  <c r="O30" i="5"/>
  <c r="N30" i="5"/>
  <c r="M30" i="5"/>
  <c r="L30" i="5"/>
  <c r="K30" i="5"/>
  <c r="S29" i="5"/>
  <c r="R29" i="5"/>
  <c r="Q29" i="5"/>
  <c r="P29" i="5"/>
  <c r="O29" i="5"/>
  <c r="N29" i="5"/>
  <c r="M29" i="5"/>
  <c r="L29" i="5"/>
  <c r="K29" i="5"/>
  <c r="S28" i="5"/>
  <c r="R28" i="5"/>
  <c r="Q28" i="5"/>
  <c r="P28" i="5"/>
  <c r="O28" i="5"/>
  <c r="N28" i="5"/>
  <c r="M28" i="5"/>
  <c r="L28" i="5"/>
  <c r="K28" i="5"/>
  <c r="S27" i="5"/>
  <c r="R27" i="5"/>
  <c r="Q27" i="5"/>
  <c r="P27" i="5"/>
  <c r="O27" i="5"/>
  <c r="N27" i="5"/>
  <c r="M27" i="5"/>
  <c r="L27" i="5"/>
  <c r="K27" i="5"/>
  <c r="S26" i="5"/>
  <c r="R26" i="5"/>
  <c r="Q26" i="5"/>
  <c r="P26" i="5"/>
  <c r="O26" i="5"/>
  <c r="N26" i="5"/>
  <c r="M26" i="5"/>
  <c r="L26" i="5"/>
  <c r="K26" i="5"/>
  <c r="S25" i="5"/>
  <c r="R25" i="5"/>
  <c r="Q25" i="5"/>
  <c r="P25" i="5"/>
  <c r="O25" i="5"/>
  <c r="N25" i="5"/>
  <c r="M25" i="5"/>
  <c r="L25" i="5"/>
  <c r="K25" i="5"/>
  <c r="S24" i="5"/>
  <c r="R24" i="5"/>
  <c r="Q24" i="5"/>
  <c r="P24" i="5"/>
  <c r="O24" i="5"/>
  <c r="N24" i="5"/>
  <c r="M24" i="5"/>
  <c r="L24" i="5"/>
  <c r="K24" i="5"/>
  <c r="S23" i="5"/>
  <c r="R23" i="5"/>
  <c r="Q23" i="5"/>
  <c r="P23" i="5"/>
  <c r="O23" i="5"/>
  <c r="N23" i="5"/>
  <c r="M23" i="5"/>
  <c r="L23" i="5"/>
  <c r="K23" i="5"/>
  <c r="S22" i="5"/>
  <c r="R22" i="5"/>
  <c r="Q22" i="5"/>
  <c r="P22" i="5"/>
  <c r="O22" i="5"/>
  <c r="N22" i="5"/>
  <c r="M22" i="5"/>
  <c r="L22" i="5"/>
  <c r="K22" i="5"/>
  <c r="S21" i="5"/>
  <c r="R21" i="5"/>
  <c r="Q21" i="5"/>
  <c r="P21" i="5"/>
  <c r="O21" i="5"/>
  <c r="N21" i="5"/>
  <c r="M21" i="5"/>
  <c r="L21" i="5"/>
  <c r="K21" i="5"/>
  <c r="S20" i="5"/>
  <c r="R20" i="5"/>
  <c r="Q20" i="5"/>
  <c r="P20" i="5"/>
  <c r="O20" i="5"/>
  <c r="N20" i="5"/>
  <c r="M20" i="5"/>
  <c r="L20" i="5"/>
  <c r="K20" i="5"/>
  <c r="S19" i="5"/>
  <c r="R19" i="5"/>
  <c r="Q19" i="5"/>
  <c r="P19" i="5"/>
  <c r="O19" i="5"/>
  <c r="N19" i="5"/>
  <c r="M19" i="5"/>
  <c r="L19" i="5"/>
  <c r="K19" i="5"/>
  <c r="S18" i="5"/>
  <c r="R18" i="5"/>
  <c r="Q18" i="5"/>
  <c r="P18" i="5"/>
  <c r="O18" i="5"/>
  <c r="N18" i="5"/>
  <c r="M18" i="5"/>
  <c r="L18" i="5"/>
  <c r="K18" i="5"/>
  <c r="S17" i="5"/>
  <c r="R17" i="5"/>
  <c r="Q17" i="5"/>
  <c r="P17" i="5"/>
  <c r="O17" i="5"/>
  <c r="N17" i="5"/>
  <c r="M17" i="5"/>
  <c r="L17" i="5"/>
  <c r="K17" i="5"/>
  <c r="S16" i="5"/>
  <c r="R16" i="5"/>
  <c r="Q16" i="5"/>
  <c r="P16" i="5"/>
  <c r="O16" i="5"/>
  <c r="N16" i="5"/>
  <c r="M16" i="5"/>
  <c r="L16" i="5"/>
  <c r="K16" i="5"/>
  <c r="S15" i="5"/>
  <c r="R15" i="5"/>
  <c r="Q15" i="5"/>
  <c r="P15" i="5"/>
  <c r="O15" i="5"/>
  <c r="N15" i="5"/>
  <c r="M15" i="5"/>
  <c r="L15" i="5"/>
  <c r="K15" i="5"/>
  <c r="S14" i="5"/>
  <c r="R14" i="5"/>
  <c r="Q14" i="5"/>
  <c r="P14" i="5"/>
  <c r="O14" i="5"/>
  <c r="N14" i="5"/>
  <c r="M14" i="5"/>
  <c r="L14" i="5"/>
  <c r="K14" i="5"/>
  <c r="S13" i="5"/>
  <c r="R13" i="5"/>
  <c r="Q13" i="5"/>
  <c r="P13" i="5"/>
  <c r="O13" i="5"/>
  <c r="N13" i="5"/>
  <c r="M13" i="5"/>
  <c r="L13" i="5"/>
  <c r="K13" i="5"/>
  <c r="S12" i="5"/>
  <c r="R12" i="5"/>
  <c r="Q12" i="5"/>
  <c r="P12" i="5"/>
  <c r="O12" i="5"/>
  <c r="N12" i="5"/>
  <c r="M12" i="5"/>
  <c r="L12" i="5"/>
  <c r="K12" i="5"/>
  <c r="S11" i="5"/>
  <c r="R11" i="5"/>
  <c r="Q11" i="5"/>
  <c r="P11" i="5"/>
  <c r="O11" i="5"/>
  <c r="N11" i="5"/>
  <c r="M11" i="5"/>
  <c r="L11" i="5"/>
  <c r="K11" i="5"/>
  <c r="S10" i="5"/>
  <c r="R10" i="5"/>
  <c r="Q10" i="5"/>
  <c r="P10" i="5"/>
  <c r="O10" i="5"/>
  <c r="N10" i="5"/>
  <c r="M10" i="5"/>
  <c r="L10" i="5"/>
  <c r="K10" i="5"/>
  <c r="S9" i="5"/>
  <c r="R9" i="5"/>
  <c r="Q9" i="5"/>
  <c r="P9" i="5"/>
  <c r="O9" i="5"/>
  <c r="N9" i="5"/>
  <c r="M9" i="5"/>
  <c r="L9" i="5"/>
  <c r="K9" i="5"/>
  <c r="S8" i="5"/>
  <c r="R8" i="5"/>
  <c r="Q8" i="5"/>
  <c r="P8" i="5"/>
  <c r="O8" i="5"/>
  <c r="N8" i="5"/>
  <c r="M8" i="5"/>
  <c r="L8" i="5"/>
  <c r="K8" i="5"/>
  <c r="S7" i="5"/>
  <c r="R7" i="5"/>
  <c r="Q7" i="5"/>
  <c r="P7" i="5"/>
  <c r="O7" i="5"/>
  <c r="N7" i="5"/>
  <c r="M7" i="5"/>
  <c r="L7" i="5"/>
  <c r="K7" i="5"/>
  <c r="S6" i="5"/>
  <c r="R6" i="5"/>
  <c r="Q6" i="5"/>
  <c r="P6" i="5"/>
  <c r="O6" i="5"/>
  <c r="N6" i="5"/>
  <c r="M6" i="5"/>
  <c r="L6" i="5"/>
  <c r="K6" i="5"/>
  <c r="S5" i="5"/>
  <c r="R5" i="5"/>
  <c r="Q5" i="5"/>
  <c r="P5" i="5"/>
  <c r="O5" i="5"/>
  <c r="N5" i="5"/>
  <c r="M5" i="5"/>
  <c r="L5" i="5"/>
  <c r="K5" i="5"/>
  <c r="S4" i="5"/>
  <c r="R4" i="5"/>
  <c r="Q4" i="5"/>
  <c r="P4" i="5"/>
  <c r="O4" i="5"/>
  <c r="N4" i="5"/>
  <c r="M4" i="5"/>
  <c r="L4" i="5"/>
  <c r="K4" i="5"/>
  <c r="S3" i="5"/>
  <c r="R3" i="5"/>
  <c r="Q3" i="5"/>
  <c r="P3" i="5"/>
  <c r="O3" i="5"/>
  <c r="N3" i="5"/>
  <c r="M3" i="5"/>
  <c r="L3" i="5"/>
  <c r="K3" i="5"/>
  <c r="S2" i="5"/>
  <c r="R2" i="5"/>
  <c r="Q2" i="5"/>
  <c r="P2" i="5"/>
  <c r="O2" i="5"/>
  <c r="N2" i="5"/>
  <c r="M2" i="5"/>
  <c r="L2" i="5"/>
  <c r="K2" i="5"/>
  <c r="H123" i="1"/>
  <c r="K123" i="1" s="1"/>
  <c r="P163" i="5" l="1"/>
  <c r="L132" i="8"/>
  <c r="L99" i="8"/>
  <c r="K167" i="8"/>
  <c r="L138" i="8"/>
  <c r="T25" i="5"/>
  <c r="W46" i="5"/>
  <c r="U61" i="5"/>
  <c r="U79" i="5"/>
  <c r="W88" i="5"/>
  <c r="K92" i="5"/>
  <c r="T108" i="5"/>
  <c r="U111" i="5"/>
  <c r="T151" i="5"/>
  <c r="T154" i="5"/>
  <c r="W154" i="5"/>
  <c r="W158" i="5"/>
  <c r="K163" i="5"/>
  <c r="Q163" i="5"/>
  <c r="V173" i="5"/>
  <c r="K63" i="4"/>
  <c r="K135" i="8"/>
  <c r="T45" i="5"/>
  <c r="V57" i="5"/>
  <c r="W62" i="5"/>
  <c r="U83" i="5"/>
  <c r="T112" i="5"/>
  <c r="T127" i="5"/>
  <c r="R123" i="1"/>
  <c r="T27" i="5"/>
  <c r="W27" i="5"/>
  <c r="T31" i="5"/>
  <c r="W31" i="5"/>
  <c r="T35" i="5"/>
  <c r="W35" i="5"/>
  <c r="T39" i="5"/>
  <c r="W39" i="5"/>
  <c r="T42" i="5"/>
  <c r="T43" i="5"/>
  <c r="W43" i="5"/>
  <c r="V60" i="5"/>
  <c r="P68" i="5"/>
  <c r="L71" i="5"/>
  <c r="U76" i="5"/>
  <c r="V76" i="5"/>
  <c r="V77" i="5"/>
  <c r="U84" i="5"/>
  <c r="V84" i="5"/>
  <c r="P93" i="5"/>
  <c r="K94" i="5"/>
  <c r="U106" i="5"/>
  <c r="T124" i="5"/>
  <c r="W125" i="5"/>
  <c r="T140" i="5"/>
  <c r="W141" i="5"/>
  <c r="T148" i="5"/>
  <c r="T149" i="5"/>
  <c r="W149" i="5"/>
  <c r="T159" i="5"/>
  <c r="W159" i="5"/>
  <c r="L163" i="5"/>
  <c r="S163" i="5"/>
  <c r="N178" i="5"/>
  <c r="T67" i="6"/>
  <c r="S88" i="6"/>
  <c r="T90" i="6"/>
  <c r="S99" i="6"/>
  <c r="T103" i="6"/>
  <c r="S107" i="6"/>
  <c r="T111" i="6"/>
  <c r="S115" i="6"/>
  <c r="T120" i="6"/>
  <c r="T122" i="6"/>
  <c r="S124" i="6"/>
  <c r="T126" i="6"/>
  <c r="T128" i="6"/>
  <c r="T130" i="6"/>
  <c r="S132" i="6"/>
  <c r="T134" i="6"/>
  <c r="T136" i="6"/>
  <c r="T138" i="6"/>
  <c r="S140" i="6"/>
  <c r="T142" i="6"/>
  <c r="T144" i="6"/>
  <c r="T146" i="6"/>
  <c r="S148" i="6"/>
  <c r="T150" i="6"/>
  <c r="T152" i="6"/>
  <c r="S164" i="6"/>
  <c r="T166" i="6"/>
  <c r="T168" i="6"/>
  <c r="T170" i="6"/>
  <c r="S172" i="6"/>
  <c r="T174" i="6"/>
  <c r="L63" i="4"/>
  <c r="M86" i="4"/>
  <c r="Q93" i="4"/>
  <c r="L84" i="8"/>
  <c r="L172" i="8"/>
  <c r="U64" i="5"/>
  <c r="L68" i="5"/>
  <c r="U75" i="5"/>
  <c r="S94" i="5"/>
  <c r="N123" i="1"/>
  <c r="W4" i="5"/>
  <c r="W8" i="5"/>
  <c r="W12" i="5"/>
  <c r="W20" i="5"/>
  <c r="W24" i="5"/>
  <c r="U47" i="5"/>
  <c r="U51" i="5"/>
  <c r="T56" i="5"/>
  <c r="V56" i="5"/>
  <c r="W59" i="5"/>
  <c r="N63" i="5"/>
  <c r="W66" i="5"/>
  <c r="V69" i="5"/>
  <c r="N74" i="5"/>
  <c r="W81" i="5"/>
  <c r="W87" i="5"/>
  <c r="K93" i="5"/>
  <c r="Q93" i="5"/>
  <c r="M94" i="5"/>
  <c r="W98" i="5"/>
  <c r="V101" i="5"/>
  <c r="T102" i="5"/>
  <c r="V114" i="5"/>
  <c r="U116" i="5"/>
  <c r="U117" i="5"/>
  <c r="W117" i="5"/>
  <c r="K118" i="5"/>
  <c r="U121" i="5"/>
  <c r="U129" i="5"/>
  <c r="U133" i="5"/>
  <c r="U137" i="5"/>
  <c r="U145" i="5"/>
  <c r="M163" i="5"/>
  <c r="U166" i="5"/>
  <c r="T167" i="5"/>
  <c r="U170" i="5"/>
  <c r="T171" i="5"/>
  <c r="T176" i="5"/>
  <c r="M58" i="4"/>
  <c r="K100" i="8"/>
  <c r="L146" i="8"/>
  <c r="K105" i="8"/>
  <c r="L99" i="13"/>
  <c r="K161" i="13"/>
  <c r="L85" i="13"/>
  <c r="K99" i="13"/>
  <c r="L161" i="13"/>
  <c r="O83" i="13"/>
  <c r="O147" i="13"/>
  <c r="N146" i="13"/>
  <c r="N138" i="13"/>
  <c r="L84" i="13"/>
  <c r="O99" i="13"/>
  <c r="K136" i="13"/>
  <c r="K166" i="13"/>
  <c r="O131" i="13"/>
  <c r="L100" i="13"/>
  <c r="K135" i="13"/>
  <c r="L136" i="13"/>
  <c r="N161" i="13"/>
  <c r="N149" i="13"/>
  <c r="N137" i="13"/>
  <c r="N129" i="13"/>
  <c r="N105" i="13"/>
  <c r="N85" i="13"/>
  <c r="O146" i="13"/>
  <c r="O138" i="13"/>
  <c r="O6" i="13"/>
  <c r="O135" i="13"/>
  <c r="L135" i="13"/>
  <c r="N166" i="13"/>
  <c r="N136" i="13"/>
  <c r="N132" i="13"/>
  <c r="N128" i="13"/>
  <c r="N108" i="13"/>
  <c r="N100" i="13"/>
  <c r="N84" i="13"/>
  <c r="O149" i="13"/>
  <c r="O137" i="13"/>
  <c r="O129" i="13"/>
  <c r="O105" i="13"/>
  <c r="O85" i="13"/>
  <c r="N6" i="13"/>
  <c r="K84" i="13"/>
  <c r="N147" i="13"/>
  <c r="N131" i="13"/>
  <c r="N83" i="13"/>
  <c r="O166" i="13"/>
  <c r="O132" i="13"/>
  <c r="O128" i="13"/>
  <c r="O108" i="13"/>
  <c r="O100" i="13"/>
  <c r="K138" i="13"/>
  <c r="K6" i="13"/>
  <c r="L83" i="13"/>
  <c r="K105" i="13"/>
  <c r="L108" i="13"/>
  <c r="K128" i="13"/>
  <c r="L129" i="13"/>
  <c r="K131" i="13"/>
  <c r="L132" i="13"/>
  <c r="K137" i="13"/>
  <c r="K146" i="13"/>
  <c r="L147" i="13"/>
  <c r="K149" i="13"/>
  <c r="W16" i="5"/>
  <c r="V85" i="5"/>
  <c r="P95" i="5"/>
  <c r="U102" i="5"/>
  <c r="T125" i="5"/>
  <c r="U125" i="5"/>
  <c r="T10" i="6"/>
  <c r="S10" i="6"/>
  <c r="U11" i="6"/>
  <c r="V11" i="6"/>
  <c r="T14" i="6"/>
  <c r="S14" i="6"/>
  <c r="T54" i="6"/>
  <c r="S54" i="6"/>
  <c r="U69" i="6"/>
  <c r="V69" i="6"/>
  <c r="U154" i="6"/>
  <c r="V154" i="6"/>
  <c r="T157" i="6"/>
  <c r="S157" i="6"/>
  <c r="T159" i="6"/>
  <c r="S159" i="6"/>
  <c r="V176" i="6"/>
  <c r="U176" i="6"/>
  <c r="U179" i="6"/>
  <c r="V179" i="6"/>
  <c r="U3" i="5"/>
  <c r="T4" i="5"/>
  <c r="U5" i="5"/>
  <c r="W5" i="5"/>
  <c r="U7" i="5"/>
  <c r="T8" i="5"/>
  <c r="V8" i="5"/>
  <c r="U9" i="5"/>
  <c r="W9" i="5"/>
  <c r="U11" i="5"/>
  <c r="T12" i="5"/>
  <c r="V12" i="5"/>
  <c r="U13" i="5"/>
  <c r="W13" i="5"/>
  <c r="U15" i="5"/>
  <c r="T16" i="5"/>
  <c r="V16" i="5"/>
  <c r="U17" i="5"/>
  <c r="W17" i="5"/>
  <c r="U19" i="5"/>
  <c r="T20" i="5"/>
  <c r="V20" i="5"/>
  <c r="U21" i="5"/>
  <c r="W21" i="5"/>
  <c r="U23" i="5"/>
  <c r="T24" i="5"/>
  <c r="V24" i="5"/>
  <c r="U25" i="5"/>
  <c r="W25" i="5"/>
  <c r="W28" i="5"/>
  <c r="W32" i="5"/>
  <c r="W36" i="5"/>
  <c r="W40" i="5"/>
  <c r="U43" i="5"/>
  <c r="T46" i="5"/>
  <c r="T47" i="5"/>
  <c r="W47" i="5"/>
  <c r="T49" i="5"/>
  <c r="W50" i="5"/>
  <c r="U52" i="5"/>
  <c r="V52" i="5"/>
  <c r="V54" i="5"/>
  <c r="U56" i="5"/>
  <c r="N58" i="5"/>
  <c r="U62" i="5"/>
  <c r="V62" i="5"/>
  <c r="W65" i="5"/>
  <c r="W69" i="5"/>
  <c r="V70" i="5"/>
  <c r="P71" i="5"/>
  <c r="L73" i="5"/>
  <c r="T75" i="5"/>
  <c r="W75" i="5"/>
  <c r="W77" i="5"/>
  <c r="V78" i="5"/>
  <c r="W80" i="5"/>
  <c r="T83" i="5"/>
  <c r="W83" i="5"/>
  <c r="W85" i="5"/>
  <c r="O86" i="5"/>
  <c r="U87" i="5"/>
  <c r="V87" i="5"/>
  <c r="V88" i="5"/>
  <c r="R91" i="5"/>
  <c r="Q91" i="5"/>
  <c r="L91" i="5"/>
  <c r="P91" i="5"/>
  <c r="O92" i="5"/>
  <c r="K95" i="5"/>
  <c r="V96" i="5"/>
  <c r="V98" i="5"/>
  <c r="V100" i="5"/>
  <c r="V102" i="5"/>
  <c r="T106" i="5"/>
  <c r="U110" i="5"/>
  <c r="N118" i="5"/>
  <c r="K119" i="5"/>
  <c r="T132" i="5"/>
  <c r="T133" i="5"/>
  <c r="W133" i="5"/>
  <c r="T135" i="5"/>
  <c r="U138" i="5"/>
  <c r="V138" i="5"/>
  <c r="U142" i="5"/>
  <c r="V142" i="5"/>
  <c r="U149" i="5"/>
  <c r="T152" i="5"/>
  <c r="N153" i="5"/>
  <c r="Q153" i="5"/>
  <c r="U154" i="5"/>
  <c r="W155" i="5"/>
  <c r="M162" i="5"/>
  <c r="V165" i="5"/>
  <c r="T169" i="5"/>
  <c r="W169" i="5"/>
  <c r="V169" i="5"/>
  <c r="O175" i="5"/>
  <c r="K177" i="5"/>
  <c r="S66" i="6"/>
  <c r="S87" i="6"/>
  <c r="S89" i="6"/>
  <c r="T98" i="6"/>
  <c r="S100" i="6"/>
  <c r="S102" i="6"/>
  <c r="T104" i="6"/>
  <c r="V105" i="6"/>
  <c r="S106" i="6"/>
  <c r="S108" i="6"/>
  <c r="S110" i="6"/>
  <c r="T112" i="6"/>
  <c r="S114" i="6"/>
  <c r="S116" i="6"/>
  <c r="S121" i="6"/>
  <c r="S123" i="6"/>
  <c r="S125" i="6"/>
  <c r="T127" i="6"/>
  <c r="U128" i="6"/>
  <c r="S129" i="6"/>
  <c r="S131" i="6"/>
  <c r="S133" i="6"/>
  <c r="V134" i="6"/>
  <c r="T135" i="6"/>
  <c r="S137" i="6"/>
  <c r="S139" i="6"/>
  <c r="S141" i="6"/>
  <c r="V142" i="6"/>
  <c r="T143" i="6"/>
  <c r="U144" i="6"/>
  <c r="S145" i="6"/>
  <c r="S147" i="6"/>
  <c r="S149" i="6"/>
  <c r="V150" i="6"/>
  <c r="T151" i="6"/>
  <c r="S165" i="6"/>
  <c r="V166" i="6"/>
  <c r="T167" i="6"/>
  <c r="S169" i="6"/>
  <c r="S171" i="6"/>
  <c r="S173" i="6"/>
  <c r="V174" i="6"/>
  <c r="R95" i="5"/>
  <c r="Q95" i="5"/>
  <c r="L95" i="5"/>
  <c r="R119" i="5"/>
  <c r="S119" i="5"/>
  <c r="M119" i="5"/>
  <c r="P119" i="5"/>
  <c r="R177" i="5"/>
  <c r="S177" i="5"/>
  <c r="M177" i="5"/>
  <c r="P177" i="5"/>
  <c r="T4" i="6"/>
  <c r="S4" i="6"/>
  <c r="V5" i="6"/>
  <c r="U5" i="6"/>
  <c r="U7" i="6"/>
  <c r="V7" i="6"/>
  <c r="V13" i="6"/>
  <c r="U13" i="6"/>
  <c r="S16" i="6"/>
  <c r="T16" i="6"/>
  <c r="V17" i="6"/>
  <c r="U17" i="6"/>
  <c r="T20" i="6"/>
  <c r="S20" i="6"/>
  <c r="V21" i="6"/>
  <c r="U21" i="6"/>
  <c r="S24" i="6"/>
  <c r="T24" i="6"/>
  <c r="V25" i="6"/>
  <c r="U25" i="6"/>
  <c r="U27" i="6"/>
  <c r="V27" i="6"/>
  <c r="T30" i="6"/>
  <c r="S30" i="6"/>
  <c r="U31" i="6"/>
  <c r="V31" i="6"/>
  <c r="T34" i="6"/>
  <c r="S34" i="6"/>
  <c r="U35" i="6"/>
  <c r="V35" i="6"/>
  <c r="U37" i="6"/>
  <c r="V37" i="6"/>
  <c r="S40" i="6"/>
  <c r="T40" i="6"/>
  <c r="U41" i="6"/>
  <c r="V41" i="6"/>
  <c r="T44" i="6"/>
  <c r="S44" i="6"/>
  <c r="T46" i="6"/>
  <c r="S46" i="6"/>
  <c r="U47" i="6"/>
  <c r="V47" i="6"/>
  <c r="T50" i="6"/>
  <c r="S50" i="6"/>
  <c r="U51" i="6"/>
  <c r="V51" i="6"/>
  <c r="U60" i="6"/>
  <c r="V60" i="6"/>
  <c r="U62" i="6"/>
  <c r="V62" i="6"/>
  <c r="U75" i="6"/>
  <c r="V75" i="6"/>
  <c r="U77" i="6"/>
  <c r="V77" i="6"/>
  <c r="S80" i="6"/>
  <c r="T80" i="6"/>
  <c r="V81" i="6"/>
  <c r="U81" i="6"/>
  <c r="U83" i="6"/>
  <c r="V83" i="6"/>
  <c r="U85" i="6"/>
  <c r="V85" i="6"/>
  <c r="S155" i="6"/>
  <c r="T155" i="6"/>
  <c r="U156" i="6"/>
  <c r="V156" i="6"/>
  <c r="U158" i="6"/>
  <c r="V158" i="6"/>
  <c r="V160" i="6"/>
  <c r="U160" i="6"/>
  <c r="U2" i="5"/>
  <c r="V2" i="5"/>
  <c r="V3" i="5"/>
  <c r="U4" i="5"/>
  <c r="T5" i="5"/>
  <c r="U6" i="5"/>
  <c r="V6" i="5"/>
  <c r="V7" i="5"/>
  <c r="U8" i="5"/>
  <c r="T9" i="5"/>
  <c r="U10" i="5"/>
  <c r="V10" i="5"/>
  <c r="V11" i="5"/>
  <c r="U12" i="5"/>
  <c r="T13" i="5"/>
  <c r="U14" i="5"/>
  <c r="V14" i="5"/>
  <c r="V15" i="5"/>
  <c r="U16" i="5"/>
  <c r="T17" i="5"/>
  <c r="U18" i="5"/>
  <c r="V18" i="5"/>
  <c r="V19" i="5"/>
  <c r="U20" i="5"/>
  <c r="T21" i="5"/>
  <c r="U22" i="5"/>
  <c r="V22" i="5"/>
  <c r="V23" i="5"/>
  <c r="U24" i="5"/>
  <c r="U27" i="5"/>
  <c r="T28" i="5"/>
  <c r="V28" i="5"/>
  <c r="U29" i="5"/>
  <c r="W29" i="5"/>
  <c r="U31" i="5"/>
  <c r="T32" i="5"/>
  <c r="V32" i="5"/>
  <c r="U33" i="5"/>
  <c r="W33" i="5"/>
  <c r="U35" i="5"/>
  <c r="T36" i="5"/>
  <c r="V36" i="5"/>
  <c r="U37" i="5"/>
  <c r="W37" i="5"/>
  <c r="U39" i="5"/>
  <c r="T40" i="5"/>
  <c r="V40" i="5"/>
  <c r="U41" i="5"/>
  <c r="W41" i="5"/>
  <c r="T50" i="5"/>
  <c r="T51" i="5"/>
  <c r="W51" i="5"/>
  <c r="T61" i="5"/>
  <c r="W61" i="5"/>
  <c r="U65" i="5"/>
  <c r="V65" i="5"/>
  <c r="V66" i="5"/>
  <c r="P73" i="5"/>
  <c r="U80" i="5"/>
  <c r="V80" i="5"/>
  <c r="V81" i="5"/>
  <c r="Q86" i="5"/>
  <c r="V89" i="5"/>
  <c r="U90" i="5"/>
  <c r="M95" i="5"/>
  <c r="V99" i="5"/>
  <c r="V106" i="5"/>
  <c r="U107" i="5"/>
  <c r="T114" i="5"/>
  <c r="L119" i="5"/>
  <c r="U122" i="5"/>
  <c r="V122" i="5"/>
  <c r="U126" i="5"/>
  <c r="V126" i="5"/>
  <c r="T136" i="5"/>
  <c r="T137" i="5"/>
  <c r="W137" i="5"/>
  <c r="T139" i="5"/>
  <c r="T143" i="5"/>
  <c r="U146" i="5"/>
  <c r="V146" i="5"/>
  <c r="T158" i="5"/>
  <c r="V159" i="5"/>
  <c r="R161" i="5"/>
  <c r="S161" i="5"/>
  <c r="M161" i="5"/>
  <c r="P161" i="5"/>
  <c r="N162" i="5"/>
  <c r="W170" i="5"/>
  <c r="L177" i="5"/>
  <c r="V2" i="6"/>
  <c r="U2" i="6"/>
  <c r="T3" i="6"/>
  <c r="S3" i="6"/>
  <c r="U4" i="6"/>
  <c r="V4" i="6"/>
  <c r="T5" i="6"/>
  <c r="S5" i="6"/>
  <c r="U6" i="6"/>
  <c r="V6" i="6"/>
  <c r="T7" i="6"/>
  <c r="S7" i="6"/>
  <c r="U8" i="6"/>
  <c r="V8" i="6"/>
  <c r="T9" i="6"/>
  <c r="S9" i="6"/>
  <c r="U10" i="6"/>
  <c r="V10" i="6"/>
  <c r="T11" i="6"/>
  <c r="S11" i="6"/>
  <c r="U12" i="6"/>
  <c r="V12" i="6"/>
  <c r="T13" i="6"/>
  <c r="S13" i="6"/>
  <c r="U14" i="6"/>
  <c r="V14" i="6"/>
  <c r="T15" i="6"/>
  <c r="S15" i="6"/>
  <c r="V16" i="6"/>
  <c r="U16" i="6"/>
  <c r="T19" i="6"/>
  <c r="T27" i="6"/>
  <c r="T35" i="6"/>
  <c r="T43" i="6"/>
  <c r="T51" i="6"/>
  <c r="T83" i="6"/>
  <c r="S156" i="6"/>
  <c r="T160" i="6"/>
  <c r="T176" i="6"/>
  <c r="S179" i="6"/>
  <c r="Q175" i="5"/>
  <c r="K175" i="5"/>
  <c r="T2" i="6"/>
  <c r="S2" i="6"/>
  <c r="U3" i="6"/>
  <c r="V3" i="6"/>
  <c r="T6" i="6"/>
  <c r="S6" i="6"/>
  <c r="S8" i="6"/>
  <c r="T8" i="6"/>
  <c r="V9" i="6"/>
  <c r="U9" i="6"/>
  <c r="T12" i="6"/>
  <c r="S12" i="6"/>
  <c r="U15" i="6"/>
  <c r="V15" i="6"/>
  <c r="T18" i="6"/>
  <c r="S18" i="6"/>
  <c r="U19" i="6"/>
  <c r="V19" i="6"/>
  <c r="T22" i="6"/>
  <c r="S22" i="6"/>
  <c r="U23" i="6"/>
  <c r="V23" i="6"/>
  <c r="T26" i="6"/>
  <c r="S26" i="6"/>
  <c r="T28" i="6"/>
  <c r="S28" i="6"/>
  <c r="V29" i="6"/>
  <c r="U29" i="6"/>
  <c r="S32" i="6"/>
  <c r="T32" i="6"/>
  <c r="V33" i="6"/>
  <c r="U33" i="6"/>
  <c r="T36" i="6"/>
  <c r="S36" i="6"/>
  <c r="T38" i="6"/>
  <c r="S38" i="6"/>
  <c r="U39" i="6"/>
  <c r="V39" i="6"/>
  <c r="T42" i="6"/>
  <c r="S42" i="6"/>
  <c r="U43" i="6"/>
  <c r="V43" i="6"/>
  <c r="U45" i="6"/>
  <c r="V45" i="6"/>
  <c r="S48" i="6"/>
  <c r="T48" i="6"/>
  <c r="V49" i="6"/>
  <c r="U49" i="6"/>
  <c r="T52" i="6"/>
  <c r="S52" i="6"/>
  <c r="U53" i="6"/>
  <c r="V53" i="6"/>
  <c r="T59" i="6"/>
  <c r="S59" i="6"/>
  <c r="T61" i="6"/>
  <c r="S61" i="6"/>
  <c r="T70" i="6"/>
  <c r="S70" i="6"/>
  <c r="S76" i="6"/>
  <c r="T76" i="6"/>
  <c r="S78" i="6"/>
  <c r="T78" i="6"/>
  <c r="U79" i="6"/>
  <c r="V79" i="6"/>
  <c r="T82" i="6"/>
  <c r="S82" i="6"/>
  <c r="T84" i="6"/>
  <c r="S84" i="6"/>
  <c r="V96" i="6"/>
  <c r="U96" i="6"/>
  <c r="T3" i="5"/>
  <c r="W3" i="5"/>
  <c r="T7" i="5"/>
  <c r="W7" i="5"/>
  <c r="T11" i="5"/>
  <c r="W11" i="5"/>
  <c r="T15" i="5"/>
  <c r="W15" i="5"/>
  <c r="T19" i="5"/>
  <c r="W19" i="5"/>
  <c r="T23" i="5"/>
  <c r="W23" i="5"/>
  <c r="U26" i="5"/>
  <c r="V26" i="5"/>
  <c r="V27" i="5"/>
  <c r="U28" i="5"/>
  <c r="T29" i="5"/>
  <c r="U30" i="5"/>
  <c r="V30" i="5"/>
  <c r="V31" i="5"/>
  <c r="U32" i="5"/>
  <c r="T33" i="5"/>
  <c r="U34" i="5"/>
  <c r="V34" i="5"/>
  <c r="V35" i="5"/>
  <c r="U36" i="5"/>
  <c r="T37" i="5"/>
  <c r="U38" i="5"/>
  <c r="V38" i="5"/>
  <c r="V39" i="5"/>
  <c r="U40" i="5"/>
  <c r="T41" i="5"/>
  <c r="W42" i="5"/>
  <c r="U44" i="5"/>
  <c r="V44" i="5"/>
  <c r="U45" i="5"/>
  <c r="W45" i="5"/>
  <c r="U53" i="5"/>
  <c r="W53" i="5"/>
  <c r="T54" i="5"/>
  <c r="T57" i="5"/>
  <c r="V59" i="5"/>
  <c r="T64" i="5"/>
  <c r="W64" i="5"/>
  <c r="V67" i="5"/>
  <c r="W76" i="5"/>
  <c r="T79" i="5"/>
  <c r="W79" i="5"/>
  <c r="V82" i="5"/>
  <c r="W84" i="5"/>
  <c r="U89" i="5"/>
  <c r="P92" i="5"/>
  <c r="M92" i="5"/>
  <c r="S92" i="5"/>
  <c r="O95" i="5"/>
  <c r="S97" i="5"/>
  <c r="L97" i="5"/>
  <c r="V110" i="5"/>
  <c r="W114" i="5"/>
  <c r="S118" i="5"/>
  <c r="M118" i="5"/>
  <c r="R118" i="5"/>
  <c r="O119" i="5"/>
  <c r="T120" i="5"/>
  <c r="T121" i="5"/>
  <c r="W121" i="5"/>
  <c r="T123" i="5"/>
  <c r="T141" i="5"/>
  <c r="U141" i="5"/>
  <c r="U158" i="5"/>
  <c r="U169" i="5"/>
  <c r="U173" i="5"/>
  <c r="W174" i="5"/>
  <c r="W176" i="5"/>
  <c r="V176" i="5"/>
  <c r="O177" i="5"/>
  <c r="U179" i="5"/>
  <c r="V116" i="6"/>
  <c r="Q118" i="4"/>
  <c r="O118" i="4"/>
  <c r="T17" i="6"/>
  <c r="S17" i="6"/>
  <c r="U18" i="6"/>
  <c r="V18" i="6"/>
  <c r="U20" i="6"/>
  <c r="V20" i="6"/>
  <c r="T21" i="6"/>
  <c r="S21" i="6"/>
  <c r="U22" i="6"/>
  <c r="V22" i="6"/>
  <c r="T23" i="6"/>
  <c r="U24" i="6"/>
  <c r="V24" i="6"/>
  <c r="T25" i="6"/>
  <c r="S25" i="6"/>
  <c r="U26" i="6"/>
  <c r="V26" i="6"/>
  <c r="U28" i="6"/>
  <c r="V28" i="6"/>
  <c r="T29" i="6"/>
  <c r="S29" i="6"/>
  <c r="U30" i="6"/>
  <c r="V30" i="6"/>
  <c r="T31" i="6"/>
  <c r="V32" i="6"/>
  <c r="T33" i="6"/>
  <c r="S33" i="6"/>
  <c r="U34" i="6"/>
  <c r="V34" i="6"/>
  <c r="U36" i="6"/>
  <c r="V36" i="6"/>
  <c r="T37" i="6"/>
  <c r="S37" i="6"/>
  <c r="U38" i="6"/>
  <c r="V38" i="6"/>
  <c r="T39" i="6"/>
  <c r="V40" i="6"/>
  <c r="U40" i="6"/>
  <c r="T41" i="6"/>
  <c r="S41" i="6"/>
  <c r="U42" i="6"/>
  <c r="V42" i="6"/>
  <c r="U44" i="6"/>
  <c r="V44" i="6"/>
  <c r="T45" i="6"/>
  <c r="S45" i="6"/>
  <c r="U46" i="6"/>
  <c r="V46" i="6"/>
  <c r="T47" i="6"/>
  <c r="V48" i="6"/>
  <c r="T49" i="6"/>
  <c r="S49" i="6"/>
  <c r="U50" i="6"/>
  <c r="V50" i="6"/>
  <c r="U52" i="6"/>
  <c r="T53" i="6"/>
  <c r="S53" i="6"/>
  <c r="U54" i="6"/>
  <c r="V54" i="6"/>
  <c r="U59" i="6"/>
  <c r="V59" i="6"/>
  <c r="T60" i="6"/>
  <c r="S60" i="6"/>
  <c r="U61" i="6"/>
  <c r="V61" i="6"/>
  <c r="T62" i="6"/>
  <c r="T69" i="6"/>
  <c r="S69" i="6"/>
  <c r="U70" i="6"/>
  <c r="V70" i="6"/>
  <c r="T75" i="6"/>
  <c r="U76" i="6"/>
  <c r="V76" i="6"/>
  <c r="T77" i="6"/>
  <c r="S77" i="6"/>
  <c r="U78" i="6"/>
  <c r="V78" i="6"/>
  <c r="T79" i="6"/>
  <c r="V80" i="6"/>
  <c r="T81" i="6"/>
  <c r="S81" i="6"/>
  <c r="U82" i="6"/>
  <c r="V82" i="6"/>
  <c r="U84" i="6"/>
  <c r="T85" i="6"/>
  <c r="S85" i="6"/>
  <c r="T96" i="6"/>
  <c r="T154" i="6"/>
  <c r="U155" i="6"/>
  <c r="V155" i="6"/>
  <c r="U157" i="6"/>
  <c r="V157" i="6"/>
  <c r="T158" i="6"/>
  <c r="U159" i="6"/>
  <c r="V159" i="6"/>
  <c r="S174" i="6"/>
  <c r="S170" i="6"/>
  <c r="S166" i="6"/>
  <c r="S158" i="6"/>
  <c r="S154" i="6"/>
  <c r="S150" i="6"/>
  <c r="S146" i="6"/>
  <c r="S142" i="6"/>
  <c r="S138" i="6"/>
  <c r="S134" i="6"/>
  <c r="S130" i="6"/>
  <c r="S126" i="6"/>
  <c r="S122" i="6"/>
  <c r="S98" i="6"/>
  <c r="S90" i="6"/>
  <c r="S83" i="6"/>
  <c r="S75" i="6"/>
  <c r="S67" i="6"/>
  <c r="S51" i="6"/>
  <c r="S43" i="6"/>
  <c r="S35" i="6"/>
  <c r="S27" i="6"/>
  <c r="S19" i="6"/>
  <c r="T172" i="6"/>
  <c r="T164" i="6"/>
  <c r="T156" i="6"/>
  <c r="T148" i="6"/>
  <c r="T140" i="6"/>
  <c r="T132" i="6"/>
  <c r="T124" i="6"/>
  <c r="T116" i="6"/>
  <c r="T108" i="6"/>
  <c r="T99" i="6"/>
  <c r="T88" i="6"/>
  <c r="T66" i="6"/>
  <c r="U80" i="6"/>
  <c r="S56" i="6"/>
  <c r="T56" i="6"/>
  <c r="V57" i="6"/>
  <c r="U57" i="6"/>
  <c r="V64" i="6"/>
  <c r="T65" i="6"/>
  <c r="S65" i="6"/>
  <c r="U66" i="6"/>
  <c r="V66" i="6"/>
  <c r="U87" i="6"/>
  <c r="V87" i="6"/>
  <c r="V89" i="6"/>
  <c r="U89" i="6"/>
  <c r="U98" i="6"/>
  <c r="V98" i="6"/>
  <c r="U100" i="6"/>
  <c r="V100" i="6"/>
  <c r="T101" i="6"/>
  <c r="U102" i="6"/>
  <c r="V102" i="6"/>
  <c r="V104" i="6"/>
  <c r="U104" i="6"/>
  <c r="T105" i="6"/>
  <c r="U106" i="6"/>
  <c r="V106" i="6"/>
  <c r="U108" i="6"/>
  <c r="V108" i="6"/>
  <c r="T109" i="6"/>
  <c r="U110" i="6"/>
  <c r="V110" i="6"/>
  <c r="V112" i="6"/>
  <c r="T113" i="6"/>
  <c r="U114" i="6"/>
  <c r="V114" i="6"/>
  <c r="U116" i="6"/>
  <c r="T117" i="6"/>
  <c r="V121" i="6"/>
  <c r="U121" i="6"/>
  <c r="U123" i="6"/>
  <c r="V123" i="6"/>
  <c r="U125" i="6"/>
  <c r="V125" i="6"/>
  <c r="U127" i="6"/>
  <c r="V127" i="6"/>
  <c r="V129" i="6"/>
  <c r="U129" i="6"/>
  <c r="U131" i="6"/>
  <c r="V131" i="6"/>
  <c r="U133" i="6"/>
  <c r="V133" i="6"/>
  <c r="U135" i="6"/>
  <c r="V135" i="6"/>
  <c r="V137" i="6"/>
  <c r="U137" i="6"/>
  <c r="U139" i="6"/>
  <c r="V139" i="6"/>
  <c r="U141" i="6"/>
  <c r="V141" i="6"/>
  <c r="U143" i="6"/>
  <c r="V143" i="6"/>
  <c r="V145" i="6"/>
  <c r="U145" i="6"/>
  <c r="U147" i="6"/>
  <c r="V147" i="6"/>
  <c r="U149" i="6"/>
  <c r="V149" i="6"/>
  <c r="U151" i="6"/>
  <c r="V151" i="6"/>
  <c r="U165" i="6"/>
  <c r="V165" i="6"/>
  <c r="U167" i="6"/>
  <c r="V167" i="6"/>
  <c r="V169" i="6"/>
  <c r="U169" i="6"/>
  <c r="U171" i="6"/>
  <c r="V171" i="6"/>
  <c r="U173" i="6"/>
  <c r="V173" i="6"/>
  <c r="S117" i="6"/>
  <c r="S113" i="6"/>
  <c r="S109" i="6"/>
  <c r="S105" i="6"/>
  <c r="S101" i="6"/>
  <c r="T179" i="6"/>
  <c r="T171" i="6"/>
  <c r="T147" i="6"/>
  <c r="T139" i="6"/>
  <c r="T131" i="6"/>
  <c r="T123" i="6"/>
  <c r="T115" i="6"/>
  <c r="T107" i="6"/>
  <c r="T87" i="6"/>
  <c r="U64" i="6"/>
  <c r="L161" i="8"/>
  <c r="K161" i="8"/>
  <c r="L137" i="8"/>
  <c r="K137" i="8"/>
  <c r="K166" i="8"/>
  <c r="L166" i="8"/>
  <c r="L149" i="8"/>
  <c r="K149" i="8"/>
  <c r="L83" i="8"/>
  <c r="K83" i="8"/>
  <c r="L131" i="8"/>
  <c r="K131" i="8"/>
  <c r="S176" i="6"/>
  <c r="S168" i="6"/>
  <c r="S160" i="6"/>
  <c r="S152" i="6"/>
  <c r="S144" i="6"/>
  <c r="S136" i="6"/>
  <c r="S128" i="6"/>
  <c r="S120" i="6"/>
  <c r="S112" i="6"/>
  <c r="S104" i="6"/>
  <c r="S96" i="6"/>
  <c r="S79" i="6"/>
  <c r="S47" i="6"/>
  <c r="S39" i="6"/>
  <c r="S31" i="6"/>
  <c r="S23" i="6"/>
  <c r="V52" i="6"/>
  <c r="U112" i="6"/>
  <c r="U48" i="6"/>
  <c r="W89" i="5"/>
  <c r="O93" i="5"/>
  <c r="Q94" i="5"/>
  <c r="U103" i="5"/>
  <c r="T104" i="5"/>
  <c r="T107" i="5"/>
  <c r="T110" i="5"/>
  <c r="U115" i="5"/>
  <c r="V115" i="5"/>
  <c r="T128" i="5"/>
  <c r="T129" i="5"/>
  <c r="W129" i="5"/>
  <c r="T131" i="5"/>
  <c r="U134" i="5"/>
  <c r="V134" i="5"/>
  <c r="T144" i="5"/>
  <c r="T145" i="5"/>
  <c r="W145" i="5"/>
  <c r="T147" i="5"/>
  <c r="U150" i="5"/>
  <c r="V150" i="5"/>
  <c r="T155" i="5"/>
  <c r="W156" i="5"/>
  <c r="O163" i="5"/>
  <c r="W163" i="5" s="1"/>
  <c r="W164" i="5"/>
  <c r="U165" i="5"/>
  <c r="W166" i="5"/>
  <c r="T173" i="5"/>
  <c r="W173" i="5"/>
  <c r="U174" i="5"/>
  <c r="V56" i="6"/>
  <c r="U56" i="6"/>
  <c r="T57" i="6"/>
  <c r="S57" i="6"/>
  <c r="S64" i="6"/>
  <c r="T64" i="6"/>
  <c r="V65" i="6"/>
  <c r="U65" i="6"/>
  <c r="U67" i="6"/>
  <c r="V67" i="6"/>
  <c r="V88" i="6"/>
  <c r="U88" i="6"/>
  <c r="T89" i="6"/>
  <c r="U90" i="6"/>
  <c r="V90" i="6"/>
  <c r="U99" i="6"/>
  <c r="V99" i="6"/>
  <c r="T100" i="6"/>
  <c r="U101" i="6"/>
  <c r="V101" i="6"/>
  <c r="T102" i="6"/>
  <c r="U103" i="6"/>
  <c r="V103" i="6"/>
  <c r="U105" i="6"/>
  <c r="T106" i="6"/>
  <c r="U107" i="6"/>
  <c r="V107" i="6"/>
  <c r="U109" i="6"/>
  <c r="V109" i="6"/>
  <c r="T110" i="6"/>
  <c r="U111" i="6"/>
  <c r="V111" i="6"/>
  <c r="V113" i="6"/>
  <c r="U113" i="6"/>
  <c r="T114" i="6"/>
  <c r="U115" i="6"/>
  <c r="V115" i="6"/>
  <c r="U117" i="6"/>
  <c r="V117" i="6"/>
  <c r="V120" i="6"/>
  <c r="U120" i="6"/>
  <c r="T121" i="6"/>
  <c r="U122" i="6"/>
  <c r="V122" i="6"/>
  <c r="U124" i="6"/>
  <c r="V124" i="6"/>
  <c r="T125" i="6"/>
  <c r="U126" i="6"/>
  <c r="V128" i="6"/>
  <c r="T129" i="6"/>
  <c r="U130" i="6"/>
  <c r="V130" i="6"/>
  <c r="U132" i="6"/>
  <c r="V132" i="6"/>
  <c r="T133" i="6"/>
  <c r="U134" i="6"/>
  <c r="V136" i="6"/>
  <c r="U136" i="6"/>
  <c r="T137" i="6"/>
  <c r="U138" i="6"/>
  <c r="V138" i="6"/>
  <c r="U140" i="6"/>
  <c r="V140" i="6"/>
  <c r="T141" i="6"/>
  <c r="U142" i="6"/>
  <c r="V144" i="6"/>
  <c r="T145" i="6"/>
  <c r="U146" i="6"/>
  <c r="V146" i="6"/>
  <c r="U148" i="6"/>
  <c r="V148" i="6"/>
  <c r="T149" i="6"/>
  <c r="U150" i="6"/>
  <c r="V152" i="6"/>
  <c r="U152" i="6"/>
  <c r="U164" i="6"/>
  <c r="V164" i="6"/>
  <c r="T165" i="6"/>
  <c r="U166" i="6"/>
  <c r="V168" i="6"/>
  <c r="U168" i="6"/>
  <c r="T169" i="6"/>
  <c r="U170" i="6"/>
  <c r="V170" i="6"/>
  <c r="U172" i="6"/>
  <c r="V172" i="6"/>
  <c r="T173" i="6"/>
  <c r="U174" i="6"/>
  <c r="N58" i="4"/>
  <c r="S167" i="6"/>
  <c r="S151" i="6"/>
  <c r="S143" i="6"/>
  <c r="S135" i="6"/>
  <c r="S127" i="6"/>
  <c r="S111" i="6"/>
  <c r="S103" i="6"/>
  <c r="S62" i="6"/>
  <c r="V126" i="6"/>
  <c r="V84" i="6"/>
  <c r="U32" i="6"/>
  <c r="K108" i="8"/>
  <c r="L108" i="8"/>
  <c r="K136" i="8"/>
  <c r="L136" i="8"/>
  <c r="L165" i="8"/>
  <c r="K165" i="8"/>
  <c r="L147" i="8"/>
  <c r="K147" i="8"/>
  <c r="L128" i="8"/>
  <c r="K128" i="8"/>
  <c r="L129" i="8"/>
  <c r="K129" i="8"/>
  <c r="N55" i="4"/>
  <c r="M63" i="4"/>
  <c r="M92" i="4"/>
  <c r="K94" i="4"/>
  <c r="K175" i="4"/>
  <c r="Q94" i="4"/>
  <c r="Q63" i="4"/>
  <c r="L94" i="4"/>
  <c r="M119" i="4"/>
  <c r="M94" i="4"/>
  <c r="P63" i="4"/>
  <c r="N92" i="4"/>
  <c r="P94" i="4"/>
  <c r="R162" i="4"/>
  <c r="Q162" i="4"/>
  <c r="K55" i="4"/>
  <c r="R153" i="4"/>
  <c r="L153" i="4"/>
  <c r="K153" i="4"/>
  <c r="L175" i="4"/>
  <c r="R74" i="4"/>
  <c r="O74" i="4"/>
  <c r="L74" i="4"/>
  <c r="N95" i="4"/>
  <c r="K95" i="4"/>
  <c r="K74" i="4"/>
  <c r="O95" i="4"/>
  <c r="M163" i="4"/>
  <c r="P74" i="4"/>
  <c r="Q97" i="4"/>
  <c r="N97" i="4"/>
  <c r="M97" i="4"/>
  <c r="O163" i="4"/>
  <c r="L163" i="4"/>
  <c r="Q163" i="4"/>
  <c r="K163" i="4"/>
  <c r="R73" i="4"/>
  <c r="Q73" i="4"/>
  <c r="L73" i="4"/>
  <c r="P73" i="4"/>
  <c r="K73" i="4"/>
  <c r="R68" i="4"/>
  <c r="L68" i="4"/>
  <c r="K68" i="4"/>
  <c r="O73" i="4"/>
  <c r="R86" i="4"/>
  <c r="Q86" i="4"/>
  <c r="L86" i="4"/>
  <c r="P86" i="4"/>
  <c r="K86" i="4"/>
  <c r="O93" i="4"/>
  <c r="M93" i="4"/>
  <c r="L93" i="4"/>
  <c r="R178" i="4"/>
  <c r="Q178" i="4"/>
  <c r="M178" i="4"/>
  <c r="O63" i="4"/>
  <c r="O94" i="4"/>
  <c r="O153" i="4"/>
  <c r="O175" i="4"/>
  <c r="P153" i="4"/>
  <c r="M162" i="4"/>
  <c r="P175" i="4"/>
  <c r="Q71" i="4"/>
  <c r="M71" i="4"/>
  <c r="P71" i="4"/>
  <c r="L71" i="4"/>
  <c r="R71" i="4"/>
  <c r="M72" i="4"/>
  <c r="R72" i="4"/>
  <c r="P58" i="4"/>
  <c r="L58" i="4"/>
  <c r="O58" i="4"/>
  <c r="K58" i="4"/>
  <c r="R58" i="4"/>
  <c r="K71" i="4"/>
  <c r="Q91" i="4"/>
  <c r="M91" i="4"/>
  <c r="P91" i="4"/>
  <c r="L91" i="4"/>
  <c r="O91" i="4"/>
  <c r="N91" i="4"/>
  <c r="K91" i="4"/>
  <c r="P72" i="4"/>
  <c r="L72" i="4"/>
  <c r="O72" i="4"/>
  <c r="K72" i="4"/>
  <c r="Q55" i="4"/>
  <c r="M55" i="4"/>
  <c r="P55" i="4"/>
  <c r="L55" i="4"/>
  <c r="R55" i="4"/>
  <c r="N71" i="4"/>
  <c r="Q72" i="4"/>
  <c r="N63" i="4"/>
  <c r="M68" i="4"/>
  <c r="Q68" i="4"/>
  <c r="N73" i="4"/>
  <c r="M74" i="4"/>
  <c r="Q74" i="4"/>
  <c r="Q95" i="4"/>
  <c r="M95" i="4"/>
  <c r="P95" i="4"/>
  <c r="L95" i="4"/>
  <c r="R95" i="4"/>
  <c r="P118" i="4"/>
  <c r="L118" i="4"/>
  <c r="N118" i="4"/>
  <c r="R118" i="4"/>
  <c r="M118" i="4"/>
  <c r="N68" i="4"/>
  <c r="N74" i="4"/>
  <c r="P92" i="4"/>
  <c r="L92" i="4"/>
  <c r="O92" i="4"/>
  <c r="K92" i="4"/>
  <c r="R92" i="4"/>
  <c r="P97" i="4"/>
  <c r="L97" i="4"/>
  <c r="O97" i="4"/>
  <c r="K97" i="4"/>
  <c r="R97" i="4"/>
  <c r="K118" i="4"/>
  <c r="N93" i="4"/>
  <c r="R93" i="4"/>
  <c r="O119" i="4"/>
  <c r="K119" i="4"/>
  <c r="P119" i="4"/>
  <c r="O161" i="4"/>
  <c r="K161" i="4"/>
  <c r="Q161" i="4"/>
  <c r="M161" i="4"/>
  <c r="P161" i="4"/>
  <c r="L161" i="4"/>
  <c r="N86" i="4"/>
  <c r="K93" i="4"/>
  <c r="N94" i="4"/>
  <c r="L119" i="4"/>
  <c r="Q119" i="4"/>
  <c r="N161" i="4"/>
  <c r="M153" i="4"/>
  <c r="Q153" i="4"/>
  <c r="K162" i="4"/>
  <c r="O162" i="4"/>
  <c r="N163" i="4"/>
  <c r="R163" i="4"/>
  <c r="M175" i="4"/>
  <c r="Q175" i="4"/>
  <c r="L177" i="4"/>
  <c r="P177" i="4"/>
  <c r="K178" i="4"/>
  <c r="O178" i="4"/>
  <c r="N153" i="4"/>
  <c r="L162" i="4"/>
  <c r="P162" i="4"/>
  <c r="N175" i="4"/>
  <c r="M177" i="4"/>
  <c r="Q177" i="4"/>
  <c r="L178" i="4"/>
  <c r="P178" i="4"/>
  <c r="N177" i="4"/>
  <c r="R177" i="4"/>
  <c r="N162" i="4"/>
  <c r="K177" i="4"/>
  <c r="N178" i="4"/>
  <c r="M73" i="6"/>
  <c r="L58" i="6"/>
  <c r="Q58" i="6"/>
  <c r="K118" i="6"/>
  <c r="N68" i="6"/>
  <c r="R94" i="6"/>
  <c r="R58" i="6"/>
  <c r="N92" i="6"/>
  <c r="N72" i="6"/>
  <c r="R178" i="6"/>
  <c r="R86" i="6"/>
  <c r="R74" i="6"/>
  <c r="K58" i="6"/>
  <c r="R118" i="6"/>
  <c r="M55" i="6"/>
  <c r="L175" i="6"/>
  <c r="N175" i="6"/>
  <c r="N163" i="6"/>
  <c r="N119" i="6"/>
  <c r="N95" i="6"/>
  <c r="N91" i="6"/>
  <c r="N71" i="6"/>
  <c r="N63" i="6"/>
  <c r="N55" i="6"/>
  <c r="R177" i="6"/>
  <c r="R161" i="6"/>
  <c r="R153" i="6"/>
  <c r="R97" i="6"/>
  <c r="R93" i="6"/>
  <c r="R73" i="6"/>
  <c r="R162" i="6"/>
  <c r="P72" i="6"/>
  <c r="K74" i="6"/>
  <c r="K97" i="6"/>
  <c r="N162" i="6"/>
  <c r="N86" i="6"/>
  <c r="N74" i="6"/>
  <c r="N153" i="6"/>
  <c r="N97" i="6"/>
  <c r="R175" i="6"/>
  <c r="R91" i="6"/>
  <c r="R55" i="6"/>
  <c r="Q68" i="6"/>
  <c r="K68" i="6"/>
  <c r="O94" i="6"/>
  <c r="K94" i="6"/>
  <c r="L94" i="6"/>
  <c r="O92" i="6"/>
  <c r="M92" i="6"/>
  <c r="Q163" i="6"/>
  <c r="O163" i="6"/>
  <c r="M163" i="6"/>
  <c r="O58" i="6"/>
  <c r="M58" i="6"/>
  <c r="L97" i="6"/>
  <c r="P153" i="6"/>
  <c r="L178" i="6"/>
  <c r="M63" i="6"/>
  <c r="P162" i="6"/>
  <c r="K162" i="6"/>
  <c r="L162" i="6"/>
  <c r="O63" i="6"/>
  <c r="P91" i="6"/>
  <c r="K91" i="6"/>
  <c r="L91" i="6"/>
  <c r="Q119" i="6"/>
  <c r="M119" i="6"/>
  <c r="O68" i="6"/>
  <c r="L68" i="6"/>
  <c r="P68" i="6"/>
  <c r="K72" i="6"/>
  <c r="Q72" i="6"/>
  <c r="M72" i="6"/>
  <c r="O72" i="6"/>
  <c r="L72" i="6"/>
  <c r="K93" i="6"/>
  <c r="P58" i="6"/>
  <c r="O73" i="6"/>
  <c r="P74" i="6"/>
  <c r="V74" i="6" s="1"/>
  <c r="M94" i="6"/>
  <c r="Q94" i="6"/>
  <c r="Q153" i="6"/>
  <c r="K175" i="6"/>
  <c r="K178" i="6"/>
  <c r="Q74" i="6"/>
  <c r="Q118" i="6"/>
  <c r="L153" i="6"/>
  <c r="P175" i="6"/>
  <c r="P178" i="6"/>
  <c r="L74" i="6"/>
  <c r="P94" i="6"/>
  <c r="M95" i="6"/>
  <c r="L118" i="6"/>
  <c r="K153" i="6"/>
  <c r="Q175" i="6"/>
  <c r="Q178" i="6"/>
  <c r="P55" i="6"/>
  <c r="L55" i="6"/>
  <c r="Q55" i="6"/>
  <c r="K55" i="6"/>
  <c r="O71" i="6"/>
  <c r="M71" i="6"/>
  <c r="P71" i="6"/>
  <c r="L71" i="6"/>
  <c r="Q71" i="6"/>
  <c r="K71" i="6"/>
  <c r="L63" i="6"/>
  <c r="P63" i="6"/>
  <c r="L73" i="6"/>
  <c r="P73" i="6"/>
  <c r="K86" i="6"/>
  <c r="Q86" i="6"/>
  <c r="M91" i="6"/>
  <c r="O91" i="6"/>
  <c r="L92" i="6"/>
  <c r="P92" i="6"/>
  <c r="M93" i="6"/>
  <c r="Q93" i="6"/>
  <c r="L95" i="6"/>
  <c r="O95" i="6"/>
  <c r="O97" i="6"/>
  <c r="M97" i="6"/>
  <c r="P97" i="6"/>
  <c r="K63" i="6"/>
  <c r="Q63" i="6"/>
  <c r="M68" i="6"/>
  <c r="K73" i="6"/>
  <c r="Q73" i="6"/>
  <c r="M74" i="6"/>
  <c r="L86" i="6"/>
  <c r="P86" i="6"/>
  <c r="V86" i="6" s="1"/>
  <c r="K92" i="6"/>
  <c r="Q92" i="6"/>
  <c r="M86" i="6"/>
  <c r="P93" i="6"/>
  <c r="L93" i="6"/>
  <c r="O93" i="6"/>
  <c r="Q95" i="6"/>
  <c r="K95" i="6"/>
  <c r="P95" i="6"/>
  <c r="O118" i="6"/>
  <c r="M118" i="6"/>
  <c r="P118" i="6"/>
  <c r="K119" i="6"/>
  <c r="P119" i="6"/>
  <c r="L119" i="6"/>
  <c r="O119" i="6"/>
  <c r="P161" i="6"/>
  <c r="L161" i="6"/>
  <c r="Q161" i="6"/>
  <c r="K161" i="6"/>
  <c r="O161" i="6"/>
  <c r="M161" i="6"/>
  <c r="P177" i="6"/>
  <c r="L177" i="6"/>
  <c r="Q177" i="6"/>
  <c r="K177" i="6"/>
  <c r="O177" i="6"/>
  <c r="M177" i="6"/>
  <c r="M162" i="6"/>
  <c r="O162" i="6"/>
  <c r="L163" i="6"/>
  <c r="P163" i="6"/>
  <c r="M178" i="6"/>
  <c r="O178" i="6"/>
  <c r="M153" i="6"/>
  <c r="K163" i="6"/>
  <c r="M175" i="6"/>
  <c r="W14" i="5"/>
  <c r="W26" i="5"/>
  <c r="W30" i="5"/>
  <c r="W38" i="5"/>
  <c r="T44" i="5"/>
  <c r="V93" i="5"/>
  <c r="W95" i="5"/>
  <c r="U113" i="5"/>
  <c r="T113" i="5"/>
  <c r="W113" i="5"/>
  <c r="V113" i="5"/>
  <c r="T134" i="5"/>
  <c r="T150" i="5"/>
  <c r="T2" i="5"/>
  <c r="V4" i="5"/>
  <c r="T6" i="5"/>
  <c r="T10" i="5"/>
  <c r="T14" i="5"/>
  <c r="T18" i="5"/>
  <c r="T22" i="5"/>
  <c r="T26" i="5"/>
  <c r="T30" i="5"/>
  <c r="T34" i="5"/>
  <c r="T38" i="5"/>
  <c r="V42" i="5"/>
  <c r="V43" i="5"/>
  <c r="V46" i="5"/>
  <c r="V47" i="5"/>
  <c r="U48" i="5"/>
  <c r="V50" i="5"/>
  <c r="V51" i="5"/>
  <c r="U54" i="5"/>
  <c r="W54" i="5"/>
  <c r="W56" i="5"/>
  <c r="S58" i="5"/>
  <c r="O58" i="5"/>
  <c r="K58" i="5"/>
  <c r="Q58" i="5"/>
  <c r="M58" i="5"/>
  <c r="R58" i="5"/>
  <c r="U60" i="5"/>
  <c r="W60" i="5"/>
  <c r="U67" i="5"/>
  <c r="W67" i="5"/>
  <c r="U70" i="5"/>
  <c r="W70" i="5"/>
  <c r="U78" i="5"/>
  <c r="W78" i="5"/>
  <c r="U82" i="5"/>
  <c r="W82" i="5"/>
  <c r="T87" i="5"/>
  <c r="T89" i="5"/>
  <c r="U96" i="5"/>
  <c r="W96" i="5"/>
  <c r="U99" i="5"/>
  <c r="W99" i="5"/>
  <c r="W101" i="5"/>
  <c r="T103" i="5"/>
  <c r="T130" i="5"/>
  <c r="T146" i="5"/>
  <c r="W6" i="5"/>
  <c r="W22" i="5"/>
  <c r="W34" i="5"/>
  <c r="T52" i="5"/>
  <c r="S55" i="5"/>
  <c r="O55" i="5"/>
  <c r="K55" i="5"/>
  <c r="Q55" i="5"/>
  <c r="M55" i="5"/>
  <c r="R55" i="5"/>
  <c r="W93" i="5"/>
  <c r="U105" i="5"/>
  <c r="T105" i="5"/>
  <c r="W105" i="5"/>
  <c r="V105" i="5"/>
  <c r="V5" i="5"/>
  <c r="V9" i="5"/>
  <c r="V13" i="5"/>
  <c r="V17" i="5"/>
  <c r="V21" i="5"/>
  <c r="V25" i="5"/>
  <c r="V29" i="5"/>
  <c r="V33" i="5"/>
  <c r="V37" i="5"/>
  <c r="T53" i="5"/>
  <c r="V53" i="5"/>
  <c r="N55" i="5"/>
  <c r="U57" i="5"/>
  <c r="W57" i="5"/>
  <c r="L58" i="5"/>
  <c r="T60" i="5"/>
  <c r="T62" i="5"/>
  <c r="T65" i="5"/>
  <c r="T67" i="5"/>
  <c r="T70" i="5"/>
  <c r="T76" i="5"/>
  <c r="T78" i="5"/>
  <c r="T80" i="5"/>
  <c r="T82" i="5"/>
  <c r="T84" i="5"/>
  <c r="U88" i="5"/>
  <c r="T88" i="5"/>
  <c r="T90" i="5"/>
  <c r="W90" i="5"/>
  <c r="T96" i="5"/>
  <c r="T99" i="5"/>
  <c r="U109" i="5"/>
  <c r="T109" i="5"/>
  <c r="W109" i="5"/>
  <c r="V109" i="5"/>
  <c r="T111" i="5"/>
  <c r="T126" i="5"/>
  <c r="T142" i="5"/>
  <c r="W2" i="5"/>
  <c r="W10" i="5"/>
  <c r="W18" i="5"/>
  <c r="V41" i="5"/>
  <c r="U42" i="5"/>
  <c r="W44" i="5"/>
  <c r="V45" i="5"/>
  <c r="U46" i="5"/>
  <c r="W48" i="5"/>
  <c r="V49" i="5"/>
  <c r="U50" i="5"/>
  <c r="W52" i="5"/>
  <c r="P55" i="5"/>
  <c r="U59" i="5"/>
  <c r="T59" i="5"/>
  <c r="Q63" i="5"/>
  <c r="M63" i="5"/>
  <c r="P63" i="5"/>
  <c r="L63" i="5"/>
  <c r="S63" i="5"/>
  <c r="O63" i="5"/>
  <c r="K63" i="5"/>
  <c r="U66" i="5"/>
  <c r="T66" i="5"/>
  <c r="U69" i="5"/>
  <c r="T69" i="5"/>
  <c r="Q72" i="5"/>
  <c r="M72" i="5"/>
  <c r="P72" i="5"/>
  <c r="L72" i="5"/>
  <c r="S72" i="5"/>
  <c r="O72" i="5"/>
  <c r="K72" i="5"/>
  <c r="Q74" i="5"/>
  <c r="M74" i="5"/>
  <c r="P74" i="5"/>
  <c r="L74" i="5"/>
  <c r="S74" i="5"/>
  <c r="O74" i="5"/>
  <c r="K74" i="5"/>
  <c r="U77" i="5"/>
  <c r="T77" i="5"/>
  <c r="U81" i="5"/>
  <c r="T81" i="5"/>
  <c r="U85" i="5"/>
  <c r="T85" i="5"/>
  <c r="U98" i="5"/>
  <c r="T98" i="5"/>
  <c r="V116" i="5"/>
  <c r="T122" i="5"/>
  <c r="T138" i="5"/>
  <c r="V61" i="5"/>
  <c r="V64" i="5"/>
  <c r="M68" i="5"/>
  <c r="Q68" i="5"/>
  <c r="M71" i="5"/>
  <c r="Q71" i="5"/>
  <c r="M73" i="5"/>
  <c r="Q73" i="5"/>
  <c r="V75" i="5"/>
  <c r="V79" i="5"/>
  <c r="V83" i="5"/>
  <c r="N86" i="5"/>
  <c r="R86" i="5"/>
  <c r="V86" i="5"/>
  <c r="V90" i="5"/>
  <c r="N92" i="5"/>
  <c r="R92" i="5"/>
  <c r="V92" i="5"/>
  <c r="N94" i="5"/>
  <c r="R94" i="5"/>
  <c r="W94" i="5" s="1"/>
  <c r="M97" i="5"/>
  <c r="Q97" i="5"/>
  <c r="U104" i="5"/>
  <c r="V104" i="5"/>
  <c r="U108" i="5"/>
  <c r="V108" i="5"/>
  <c r="U112" i="5"/>
  <c r="V112" i="5"/>
  <c r="T117" i="5"/>
  <c r="U123" i="5"/>
  <c r="W123" i="5"/>
  <c r="U127" i="5"/>
  <c r="W127" i="5"/>
  <c r="U131" i="5"/>
  <c r="W131" i="5"/>
  <c r="U135" i="5"/>
  <c r="W135" i="5"/>
  <c r="U139" i="5"/>
  <c r="W139" i="5"/>
  <c r="U143" i="5"/>
  <c r="W143" i="5"/>
  <c r="U147" i="5"/>
  <c r="W147" i="5"/>
  <c r="U151" i="5"/>
  <c r="W151" i="5"/>
  <c r="U157" i="5"/>
  <c r="U168" i="5"/>
  <c r="T168" i="5"/>
  <c r="V168" i="5"/>
  <c r="W168" i="5"/>
  <c r="N68" i="5"/>
  <c r="R68" i="5"/>
  <c r="N71" i="5"/>
  <c r="R71" i="5"/>
  <c r="N73" i="5"/>
  <c r="R73" i="5"/>
  <c r="N97" i="5"/>
  <c r="R97" i="5"/>
  <c r="U100" i="5"/>
  <c r="T101" i="5"/>
  <c r="W102" i="5"/>
  <c r="W103" i="5"/>
  <c r="V103" i="5"/>
  <c r="W107" i="5"/>
  <c r="W111" i="5"/>
  <c r="T116" i="5"/>
  <c r="V161" i="5"/>
  <c r="W161" i="5"/>
  <c r="U172" i="5"/>
  <c r="T172" i="5"/>
  <c r="V172" i="5"/>
  <c r="W172" i="5"/>
  <c r="K68" i="5"/>
  <c r="O68" i="5"/>
  <c r="K71" i="5"/>
  <c r="O71" i="5"/>
  <c r="K73" i="5"/>
  <c r="O73" i="5"/>
  <c r="L86" i="5"/>
  <c r="U86" i="5" s="1"/>
  <c r="N91" i="5"/>
  <c r="T91" i="5" s="1"/>
  <c r="L92" i="5"/>
  <c r="U92" i="5" s="1"/>
  <c r="N93" i="5"/>
  <c r="U93" i="5" s="1"/>
  <c r="L94" i="5"/>
  <c r="N95" i="5"/>
  <c r="T95" i="5" s="1"/>
  <c r="K97" i="5"/>
  <c r="O97" i="5"/>
  <c r="T100" i="5"/>
  <c r="U101" i="5"/>
  <c r="W104" i="5"/>
  <c r="W106" i="5"/>
  <c r="W108" i="5"/>
  <c r="W110" i="5"/>
  <c r="W112" i="5"/>
  <c r="W120" i="5"/>
  <c r="W124" i="5"/>
  <c r="W128" i="5"/>
  <c r="W132" i="5"/>
  <c r="W136" i="5"/>
  <c r="W140" i="5"/>
  <c r="W144" i="5"/>
  <c r="W148" i="5"/>
  <c r="W152" i="5"/>
  <c r="U156" i="5"/>
  <c r="V156" i="5"/>
  <c r="U160" i="5"/>
  <c r="V160" i="5"/>
  <c r="V107" i="5"/>
  <c r="V111" i="5"/>
  <c r="U114" i="5"/>
  <c r="T115" i="5"/>
  <c r="W116" i="5"/>
  <c r="V117" i="5"/>
  <c r="P118" i="5"/>
  <c r="L118" i="5"/>
  <c r="U118" i="5" s="1"/>
  <c r="O118" i="5"/>
  <c r="V120" i="5"/>
  <c r="V121" i="5"/>
  <c r="V124" i="5"/>
  <c r="V125" i="5"/>
  <c r="V128" i="5"/>
  <c r="V129" i="5"/>
  <c r="V132" i="5"/>
  <c r="V133" i="5"/>
  <c r="V136" i="5"/>
  <c r="V137" i="5"/>
  <c r="V140" i="5"/>
  <c r="V141" i="5"/>
  <c r="V144" i="5"/>
  <c r="V145" i="5"/>
  <c r="V148" i="5"/>
  <c r="V149" i="5"/>
  <c r="V152" i="5"/>
  <c r="M153" i="5"/>
  <c r="R153" i="5"/>
  <c r="V154" i="5"/>
  <c r="U155" i="5"/>
  <c r="T156" i="5"/>
  <c r="W157" i="5"/>
  <c r="V158" i="5"/>
  <c r="U159" i="5"/>
  <c r="T160" i="5"/>
  <c r="W160" i="5"/>
  <c r="T166" i="5"/>
  <c r="V166" i="5"/>
  <c r="T170" i="5"/>
  <c r="V170" i="5"/>
  <c r="T174" i="5"/>
  <c r="V174" i="5"/>
  <c r="U176" i="5"/>
  <c r="T118" i="5"/>
  <c r="P162" i="5"/>
  <c r="L162" i="5"/>
  <c r="S162" i="5"/>
  <c r="O162" i="5"/>
  <c r="K162" i="5"/>
  <c r="R162" i="5"/>
  <c r="T165" i="5"/>
  <c r="U167" i="5"/>
  <c r="V167" i="5"/>
  <c r="U171" i="5"/>
  <c r="V171" i="5"/>
  <c r="P178" i="5"/>
  <c r="L178" i="5"/>
  <c r="S178" i="5"/>
  <c r="O178" i="5"/>
  <c r="K178" i="5"/>
  <c r="Q178" i="5"/>
  <c r="M178" i="5"/>
  <c r="W179" i="5"/>
  <c r="U120" i="5"/>
  <c r="W122" i="5"/>
  <c r="V123" i="5"/>
  <c r="U124" i="5"/>
  <c r="W126" i="5"/>
  <c r="V127" i="5"/>
  <c r="U128" i="5"/>
  <c r="W130" i="5"/>
  <c r="V131" i="5"/>
  <c r="U132" i="5"/>
  <c r="W134" i="5"/>
  <c r="V135" i="5"/>
  <c r="U136" i="5"/>
  <c r="W138" i="5"/>
  <c r="V139" i="5"/>
  <c r="U140" i="5"/>
  <c r="W142" i="5"/>
  <c r="V143" i="5"/>
  <c r="U144" i="5"/>
  <c r="W146" i="5"/>
  <c r="V147" i="5"/>
  <c r="U148" i="5"/>
  <c r="W150" i="5"/>
  <c r="V151" i="5"/>
  <c r="U152" i="5"/>
  <c r="S153" i="5"/>
  <c r="O153" i="5"/>
  <c r="K153" i="5"/>
  <c r="P153" i="5"/>
  <c r="U164" i="5"/>
  <c r="T164" i="5"/>
  <c r="T179" i="5"/>
  <c r="V179" i="5"/>
  <c r="W167" i="5"/>
  <c r="W171" i="5"/>
  <c r="N175" i="5"/>
  <c r="R175" i="5"/>
  <c r="L175" i="5"/>
  <c r="P175" i="5"/>
  <c r="N119" i="5"/>
  <c r="T119" i="5" s="1"/>
  <c r="N161" i="5"/>
  <c r="N163" i="5"/>
  <c r="T163" i="5" s="1"/>
  <c r="M175" i="5"/>
  <c r="N177" i="5"/>
  <c r="U177" i="5" s="1"/>
  <c r="Q123" i="1"/>
  <c r="M123" i="1"/>
  <c r="P123" i="1"/>
  <c r="L123" i="1"/>
  <c r="S123" i="1"/>
  <c r="O123" i="1"/>
  <c r="K8" i="1"/>
  <c r="L8" i="1"/>
  <c r="M8" i="1"/>
  <c r="O8" i="1"/>
  <c r="P8" i="1"/>
  <c r="Q8" i="1"/>
  <c r="R8" i="1"/>
  <c r="S8" i="1"/>
  <c r="N8" i="1"/>
  <c r="K9" i="1"/>
  <c r="L9" i="1"/>
  <c r="M9" i="1"/>
  <c r="O9" i="1"/>
  <c r="P9" i="1"/>
  <c r="Q9" i="1"/>
  <c r="R9" i="1"/>
  <c r="S9" i="1"/>
  <c r="N9" i="1"/>
  <c r="K10" i="1"/>
  <c r="L10" i="1"/>
  <c r="M10" i="1"/>
  <c r="O10" i="1"/>
  <c r="P10" i="1"/>
  <c r="Q10" i="1"/>
  <c r="R10" i="1"/>
  <c r="S10" i="1"/>
  <c r="N10" i="1"/>
  <c r="K11" i="1"/>
  <c r="L11" i="1"/>
  <c r="M11" i="1"/>
  <c r="O11" i="1"/>
  <c r="P11" i="1"/>
  <c r="Q11" i="1"/>
  <c r="R11" i="1"/>
  <c r="S11" i="1"/>
  <c r="N11" i="1"/>
  <c r="K12" i="1"/>
  <c r="L12" i="1"/>
  <c r="M12" i="1"/>
  <c r="O12" i="1"/>
  <c r="P12" i="1"/>
  <c r="Q12" i="1"/>
  <c r="R12" i="1"/>
  <c r="S12" i="1"/>
  <c r="N12" i="1"/>
  <c r="K13" i="1"/>
  <c r="L13" i="1"/>
  <c r="M13" i="1"/>
  <c r="O13" i="1"/>
  <c r="P13" i="1"/>
  <c r="Q13" i="1"/>
  <c r="R13" i="1"/>
  <c r="S13" i="1"/>
  <c r="N13" i="1"/>
  <c r="K14" i="1"/>
  <c r="L14" i="1"/>
  <c r="M14" i="1"/>
  <c r="O14" i="1"/>
  <c r="P14" i="1"/>
  <c r="Q14" i="1"/>
  <c r="R14" i="1"/>
  <c r="S14" i="1"/>
  <c r="N14" i="1"/>
  <c r="K15" i="1"/>
  <c r="L15" i="1"/>
  <c r="M15" i="1"/>
  <c r="O15" i="1"/>
  <c r="P15" i="1"/>
  <c r="Q15" i="1"/>
  <c r="R15" i="1"/>
  <c r="S15" i="1"/>
  <c r="N15" i="1"/>
  <c r="K16" i="1"/>
  <c r="L16" i="1"/>
  <c r="M16" i="1"/>
  <c r="O16" i="1"/>
  <c r="P16" i="1"/>
  <c r="Q16" i="1"/>
  <c r="R16" i="1"/>
  <c r="S16" i="1"/>
  <c r="N16" i="1"/>
  <c r="K17" i="1"/>
  <c r="L17" i="1"/>
  <c r="M17" i="1"/>
  <c r="O17" i="1"/>
  <c r="P17" i="1"/>
  <c r="Q17" i="1"/>
  <c r="R17" i="1"/>
  <c r="S17" i="1"/>
  <c r="N17" i="1"/>
  <c r="K18" i="1"/>
  <c r="L18" i="1"/>
  <c r="M18" i="1"/>
  <c r="O18" i="1"/>
  <c r="P18" i="1"/>
  <c r="Q18" i="1"/>
  <c r="R18" i="1"/>
  <c r="S18" i="1"/>
  <c r="N18" i="1"/>
  <c r="K19" i="1"/>
  <c r="L19" i="1"/>
  <c r="M19" i="1"/>
  <c r="O19" i="1"/>
  <c r="P19" i="1"/>
  <c r="Q19" i="1"/>
  <c r="R19" i="1"/>
  <c r="S19" i="1"/>
  <c r="N19" i="1"/>
  <c r="K20" i="1"/>
  <c r="L20" i="1"/>
  <c r="M20" i="1"/>
  <c r="O20" i="1"/>
  <c r="P20" i="1"/>
  <c r="Q20" i="1"/>
  <c r="R20" i="1"/>
  <c r="S20" i="1"/>
  <c r="N20" i="1"/>
  <c r="K21" i="1"/>
  <c r="L21" i="1"/>
  <c r="M21" i="1"/>
  <c r="O21" i="1"/>
  <c r="P21" i="1"/>
  <c r="Q21" i="1"/>
  <c r="R21" i="1"/>
  <c r="S21" i="1"/>
  <c r="N21" i="1"/>
  <c r="K22" i="1"/>
  <c r="L22" i="1"/>
  <c r="M22" i="1"/>
  <c r="O22" i="1"/>
  <c r="P22" i="1"/>
  <c r="Q22" i="1"/>
  <c r="R22" i="1"/>
  <c r="S22" i="1"/>
  <c r="N22" i="1"/>
  <c r="K23" i="1"/>
  <c r="L23" i="1"/>
  <c r="M23" i="1"/>
  <c r="O23" i="1"/>
  <c r="P23" i="1"/>
  <c r="Q23" i="1"/>
  <c r="R23" i="1"/>
  <c r="S23" i="1"/>
  <c r="N23" i="1"/>
  <c r="K24" i="1"/>
  <c r="L24" i="1"/>
  <c r="M24" i="1"/>
  <c r="O24" i="1"/>
  <c r="P24" i="1"/>
  <c r="Q24" i="1"/>
  <c r="R24" i="1"/>
  <c r="S24" i="1"/>
  <c r="N24" i="1"/>
  <c r="K25" i="1"/>
  <c r="L25" i="1"/>
  <c r="M25" i="1"/>
  <c r="O25" i="1"/>
  <c r="P25" i="1"/>
  <c r="Q25" i="1"/>
  <c r="R25" i="1"/>
  <c r="S25" i="1"/>
  <c r="N25" i="1"/>
  <c r="K26" i="1"/>
  <c r="L26" i="1"/>
  <c r="M26" i="1"/>
  <c r="O26" i="1"/>
  <c r="P26" i="1"/>
  <c r="Q26" i="1"/>
  <c r="R26" i="1"/>
  <c r="S26" i="1"/>
  <c r="N26" i="1"/>
  <c r="K27" i="1"/>
  <c r="L27" i="1"/>
  <c r="M27" i="1"/>
  <c r="O27" i="1"/>
  <c r="P27" i="1"/>
  <c r="Q27" i="1"/>
  <c r="R27" i="1"/>
  <c r="S27" i="1"/>
  <c r="N27" i="1"/>
  <c r="K28" i="1"/>
  <c r="L28" i="1"/>
  <c r="M28" i="1"/>
  <c r="O28" i="1"/>
  <c r="P28" i="1"/>
  <c r="Q28" i="1"/>
  <c r="R28" i="1"/>
  <c r="S28" i="1"/>
  <c r="N28" i="1"/>
  <c r="K29" i="1"/>
  <c r="L29" i="1"/>
  <c r="M29" i="1"/>
  <c r="O29" i="1"/>
  <c r="P29" i="1"/>
  <c r="Q29" i="1"/>
  <c r="R29" i="1"/>
  <c r="S29" i="1"/>
  <c r="N29" i="1"/>
  <c r="K30" i="1"/>
  <c r="L30" i="1"/>
  <c r="M30" i="1"/>
  <c r="O30" i="1"/>
  <c r="P30" i="1"/>
  <c r="Q30" i="1"/>
  <c r="R30" i="1"/>
  <c r="S30" i="1"/>
  <c r="N30" i="1"/>
  <c r="K31" i="1"/>
  <c r="L31" i="1"/>
  <c r="M31" i="1"/>
  <c r="O31" i="1"/>
  <c r="P31" i="1"/>
  <c r="Q31" i="1"/>
  <c r="R31" i="1"/>
  <c r="S31" i="1"/>
  <c r="N31" i="1"/>
  <c r="K32" i="1"/>
  <c r="L32" i="1"/>
  <c r="M32" i="1"/>
  <c r="O32" i="1"/>
  <c r="P32" i="1"/>
  <c r="Q32" i="1"/>
  <c r="R32" i="1"/>
  <c r="S32" i="1"/>
  <c r="N32" i="1"/>
  <c r="K33" i="1"/>
  <c r="L33" i="1"/>
  <c r="M33" i="1"/>
  <c r="O33" i="1"/>
  <c r="P33" i="1"/>
  <c r="Q33" i="1"/>
  <c r="R33" i="1"/>
  <c r="S33" i="1"/>
  <c r="N33" i="1"/>
  <c r="K34" i="1"/>
  <c r="L34" i="1"/>
  <c r="M34" i="1"/>
  <c r="O34" i="1"/>
  <c r="P34" i="1"/>
  <c r="Q34" i="1"/>
  <c r="R34" i="1"/>
  <c r="S34" i="1"/>
  <c r="N34" i="1"/>
  <c r="K35" i="1"/>
  <c r="L35" i="1"/>
  <c r="M35" i="1"/>
  <c r="O35" i="1"/>
  <c r="P35" i="1"/>
  <c r="Q35" i="1"/>
  <c r="R35" i="1"/>
  <c r="S35" i="1"/>
  <c r="N35" i="1"/>
  <c r="K36" i="1"/>
  <c r="L36" i="1"/>
  <c r="M36" i="1"/>
  <c r="O36" i="1"/>
  <c r="P36" i="1"/>
  <c r="Q36" i="1"/>
  <c r="R36" i="1"/>
  <c r="S36" i="1"/>
  <c r="N36" i="1"/>
  <c r="K37" i="1"/>
  <c r="L37" i="1"/>
  <c r="M37" i="1"/>
  <c r="O37" i="1"/>
  <c r="P37" i="1"/>
  <c r="Q37" i="1"/>
  <c r="R37" i="1"/>
  <c r="S37" i="1"/>
  <c r="N37" i="1"/>
  <c r="K38" i="1"/>
  <c r="L38" i="1"/>
  <c r="M38" i="1"/>
  <c r="O38" i="1"/>
  <c r="P38" i="1"/>
  <c r="Q38" i="1"/>
  <c r="R38" i="1"/>
  <c r="S38" i="1"/>
  <c r="N38" i="1"/>
  <c r="K39" i="1"/>
  <c r="L39" i="1"/>
  <c r="M39" i="1"/>
  <c r="O39" i="1"/>
  <c r="P39" i="1"/>
  <c r="Q39" i="1"/>
  <c r="R39" i="1"/>
  <c r="S39" i="1"/>
  <c r="N39" i="1"/>
  <c r="K40" i="1"/>
  <c r="L40" i="1"/>
  <c r="M40" i="1"/>
  <c r="O40" i="1"/>
  <c r="P40" i="1"/>
  <c r="Q40" i="1"/>
  <c r="R40" i="1"/>
  <c r="S40" i="1"/>
  <c r="N40" i="1"/>
  <c r="K41" i="1"/>
  <c r="L41" i="1"/>
  <c r="M41" i="1"/>
  <c r="O41" i="1"/>
  <c r="P41" i="1"/>
  <c r="Q41" i="1"/>
  <c r="R41" i="1"/>
  <c r="S41" i="1"/>
  <c r="N41" i="1"/>
  <c r="K42" i="1"/>
  <c r="L42" i="1"/>
  <c r="M42" i="1"/>
  <c r="O42" i="1"/>
  <c r="P42" i="1"/>
  <c r="Q42" i="1"/>
  <c r="R42" i="1"/>
  <c r="S42" i="1"/>
  <c r="N42" i="1"/>
  <c r="K43" i="1"/>
  <c r="L43" i="1"/>
  <c r="M43" i="1"/>
  <c r="O43" i="1"/>
  <c r="P43" i="1"/>
  <c r="Q43" i="1"/>
  <c r="R43" i="1"/>
  <c r="S43" i="1"/>
  <c r="N43" i="1"/>
  <c r="K44" i="1"/>
  <c r="L44" i="1"/>
  <c r="M44" i="1"/>
  <c r="O44" i="1"/>
  <c r="P44" i="1"/>
  <c r="Q44" i="1"/>
  <c r="R44" i="1"/>
  <c r="S44" i="1"/>
  <c r="N44" i="1"/>
  <c r="K45" i="1"/>
  <c r="L45" i="1"/>
  <c r="M45" i="1"/>
  <c r="O45" i="1"/>
  <c r="P45" i="1"/>
  <c r="Q45" i="1"/>
  <c r="R45" i="1"/>
  <c r="S45" i="1"/>
  <c r="N45" i="1"/>
  <c r="K46" i="1"/>
  <c r="L46" i="1"/>
  <c r="M46" i="1"/>
  <c r="O46" i="1"/>
  <c r="P46" i="1"/>
  <c r="Q46" i="1"/>
  <c r="R46" i="1"/>
  <c r="S46" i="1"/>
  <c r="N46" i="1"/>
  <c r="K47" i="1"/>
  <c r="L47" i="1"/>
  <c r="M47" i="1"/>
  <c r="O47" i="1"/>
  <c r="P47" i="1"/>
  <c r="Q47" i="1"/>
  <c r="R47" i="1"/>
  <c r="S47" i="1"/>
  <c r="N47" i="1"/>
  <c r="K48" i="1"/>
  <c r="L48" i="1"/>
  <c r="M48" i="1"/>
  <c r="O48" i="1"/>
  <c r="P48" i="1"/>
  <c r="Q48" i="1"/>
  <c r="R48" i="1"/>
  <c r="S48" i="1"/>
  <c r="N48" i="1"/>
  <c r="K49" i="1"/>
  <c r="L49" i="1"/>
  <c r="M49" i="1"/>
  <c r="O49" i="1"/>
  <c r="P49" i="1"/>
  <c r="Q49" i="1"/>
  <c r="R49" i="1"/>
  <c r="S49" i="1"/>
  <c r="N49" i="1"/>
  <c r="K50" i="1"/>
  <c r="L50" i="1"/>
  <c r="M50" i="1"/>
  <c r="O50" i="1"/>
  <c r="P50" i="1"/>
  <c r="Q50" i="1"/>
  <c r="R50" i="1"/>
  <c r="S50" i="1"/>
  <c r="N50" i="1"/>
  <c r="K51" i="1"/>
  <c r="L51" i="1"/>
  <c r="M51" i="1"/>
  <c r="O51" i="1"/>
  <c r="P51" i="1"/>
  <c r="Q51" i="1"/>
  <c r="R51" i="1"/>
  <c r="S51" i="1"/>
  <c r="N51" i="1"/>
  <c r="K52" i="1"/>
  <c r="L52" i="1"/>
  <c r="M52" i="1"/>
  <c r="O52" i="1"/>
  <c r="P52" i="1"/>
  <c r="Q52" i="1"/>
  <c r="R52" i="1"/>
  <c r="S52" i="1"/>
  <c r="N52" i="1"/>
  <c r="K53" i="1"/>
  <c r="L53" i="1"/>
  <c r="M53" i="1"/>
  <c r="O53" i="1"/>
  <c r="P53" i="1"/>
  <c r="Q53" i="1"/>
  <c r="R53" i="1"/>
  <c r="S53" i="1"/>
  <c r="N53" i="1"/>
  <c r="K54" i="1"/>
  <c r="L54" i="1"/>
  <c r="M54" i="1"/>
  <c r="O54" i="1"/>
  <c r="P54" i="1"/>
  <c r="Q54" i="1"/>
  <c r="R54" i="1"/>
  <c r="S54" i="1"/>
  <c r="N54" i="1"/>
  <c r="K56" i="1"/>
  <c r="L56" i="1"/>
  <c r="M56" i="1"/>
  <c r="O56" i="1"/>
  <c r="P56" i="1"/>
  <c r="Q56" i="1"/>
  <c r="R56" i="1"/>
  <c r="S56" i="1"/>
  <c r="N56" i="1"/>
  <c r="K57" i="1"/>
  <c r="L57" i="1"/>
  <c r="M57" i="1"/>
  <c r="O57" i="1"/>
  <c r="P57" i="1"/>
  <c r="Q57" i="1"/>
  <c r="R57" i="1"/>
  <c r="S57" i="1"/>
  <c r="N57" i="1"/>
  <c r="K59" i="1"/>
  <c r="L59" i="1"/>
  <c r="M59" i="1"/>
  <c r="O59" i="1"/>
  <c r="P59" i="1"/>
  <c r="Q59" i="1"/>
  <c r="R59" i="1"/>
  <c r="S59" i="1"/>
  <c r="N59" i="1"/>
  <c r="K60" i="1"/>
  <c r="L60" i="1"/>
  <c r="M60" i="1"/>
  <c r="O60" i="1"/>
  <c r="P60" i="1"/>
  <c r="Q60" i="1"/>
  <c r="R60" i="1"/>
  <c r="S60" i="1"/>
  <c r="N60" i="1"/>
  <c r="K61" i="1"/>
  <c r="L61" i="1"/>
  <c r="M61" i="1"/>
  <c r="O61" i="1"/>
  <c r="P61" i="1"/>
  <c r="Q61" i="1"/>
  <c r="R61" i="1"/>
  <c r="S61" i="1"/>
  <c r="N61" i="1"/>
  <c r="K62" i="1"/>
  <c r="L62" i="1"/>
  <c r="M62" i="1"/>
  <c r="O62" i="1"/>
  <c r="P62" i="1"/>
  <c r="Q62" i="1"/>
  <c r="R62" i="1"/>
  <c r="S62" i="1"/>
  <c r="N62" i="1"/>
  <c r="K64" i="1"/>
  <c r="L64" i="1"/>
  <c r="M64" i="1"/>
  <c r="O64" i="1"/>
  <c r="P64" i="1"/>
  <c r="Q64" i="1"/>
  <c r="R64" i="1"/>
  <c r="S64" i="1"/>
  <c r="N64" i="1"/>
  <c r="K65" i="1"/>
  <c r="L65" i="1"/>
  <c r="M65" i="1"/>
  <c r="O65" i="1"/>
  <c r="P65" i="1"/>
  <c r="Q65" i="1"/>
  <c r="R65" i="1"/>
  <c r="S65" i="1"/>
  <c r="N65" i="1"/>
  <c r="K66" i="1"/>
  <c r="L66" i="1"/>
  <c r="M66" i="1"/>
  <c r="O66" i="1"/>
  <c r="P66" i="1"/>
  <c r="Q66" i="1"/>
  <c r="R66" i="1"/>
  <c r="S66" i="1"/>
  <c r="N66" i="1"/>
  <c r="K67" i="1"/>
  <c r="L67" i="1"/>
  <c r="M67" i="1"/>
  <c r="O67" i="1"/>
  <c r="P67" i="1"/>
  <c r="Q67" i="1"/>
  <c r="R67" i="1"/>
  <c r="S67" i="1"/>
  <c r="N67" i="1"/>
  <c r="K69" i="1"/>
  <c r="L69" i="1"/>
  <c r="M69" i="1"/>
  <c r="O69" i="1"/>
  <c r="P69" i="1"/>
  <c r="Q69" i="1"/>
  <c r="R69" i="1"/>
  <c r="S69" i="1"/>
  <c r="N69" i="1"/>
  <c r="K70" i="1"/>
  <c r="L70" i="1"/>
  <c r="M70" i="1"/>
  <c r="O70" i="1"/>
  <c r="P70" i="1"/>
  <c r="Q70" i="1"/>
  <c r="R70" i="1"/>
  <c r="S70" i="1"/>
  <c r="N70" i="1"/>
  <c r="K75" i="1"/>
  <c r="L75" i="1"/>
  <c r="M75" i="1"/>
  <c r="O75" i="1"/>
  <c r="P75" i="1"/>
  <c r="Q75" i="1"/>
  <c r="R75" i="1"/>
  <c r="S75" i="1"/>
  <c r="N75" i="1"/>
  <c r="K76" i="1"/>
  <c r="L76" i="1"/>
  <c r="M76" i="1"/>
  <c r="O76" i="1"/>
  <c r="P76" i="1"/>
  <c r="Q76" i="1"/>
  <c r="R76" i="1"/>
  <c r="S76" i="1"/>
  <c r="N76" i="1"/>
  <c r="K77" i="1"/>
  <c r="L77" i="1"/>
  <c r="M77" i="1"/>
  <c r="O77" i="1"/>
  <c r="P77" i="1"/>
  <c r="Q77" i="1"/>
  <c r="R77" i="1"/>
  <c r="S77" i="1"/>
  <c r="N77" i="1"/>
  <c r="K78" i="1"/>
  <c r="L78" i="1"/>
  <c r="M78" i="1"/>
  <c r="O78" i="1"/>
  <c r="P78" i="1"/>
  <c r="Q78" i="1"/>
  <c r="R78" i="1"/>
  <c r="S78" i="1"/>
  <c r="N78" i="1"/>
  <c r="K79" i="1"/>
  <c r="L79" i="1"/>
  <c r="M79" i="1"/>
  <c r="O79" i="1"/>
  <c r="P79" i="1"/>
  <c r="Q79" i="1"/>
  <c r="R79" i="1"/>
  <c r="S79" i="1"/>
  <c r="N79" i="1"/>
  <c r="K80" i="1"/>
  <c r="L80" i="1"/>
  <c r="M80" i="1"/>
  <c r="O80" i="1"/>
  <c r="P80" i="1"/>
  <c r="Q80" i="1"/>
  <c r="R80" i="1"/>
  <c r="S80" i="1"/>
  <c r="N80" i="1"/>
  <c r="K81" i="1"/>
  <c r="L81" i="1"/>
  <c r="M81" i="1"/>
  <c r="O81" i="1"/>
  <c r="P81" i="1"/>
  <c r="Q81" i="1"/>
  <c r="R81" i="1"/>
  <c r="S81" i="1"/>
  <c r="N81" i="1"/>
  <c r="K82" i="1"/>
  <c r="L82" i="1"/>
  <c r="M82" i="1"/>
  <c r="O82" i="1"/>
  <c r="P82" i="1"/>
  <c r="Q82" i="1"/>
  <c r="R82" i="1"/>
  <c r="S82" i="1"/>
  <c r="N82" i="1"/>
  <c r="K83" i="1"/>
  <c r="L83" i="1"/>
  <c r="M83" i="1"/>
  <c r="O83" i="1"/>
  <c r="P83" i="1"/>
  <c r="Q83" i="1"/>
  <c r="R83" i="1"/>
  <c r="S83" i="1"/>
  <c r="N83" i="1"/>
  <c r="K84" i="1"/>
  <c r="L84" i="1"/>
  <c r="M84" i="1"/>
  <c r="O84" i="1"/>
  <c r="P84" i="1"/>
  <c r="Q84" i="1"/>
  <c r="R84" i="1"/>
  <c r="S84" i="1"/>
  <c r="N84" i="1"/>
  <c r="K85" i="1"/>
  <c r="L85" i="1"/>
  <c r="M85" i="1"/>
  <c r="O85" i="1"/>
  <c r="P85" i="1"/>
  <c r="Q85" i="1"/>
  <c r="R85" i="1"/>
  <c r="S85" i="1"/>
  <c r="N85" i="1"/>
  <c r="K87" i="1"/>
  <c r="L87" i="1"/>
  <c r="M87" i="1"/>
  <c r="O87" i="1"/>
  <c r="P87" i="1"/>
  <c r="Q87" i="1"/>
  <c r="R87" i="1"/>
  <c r="S87" i="1"/>
  <c r="N87" i="1"/>
  <c r="K88" i="1"/>
  <c r="L88" i="1"/>
  <c r="M88" i="1"/>
  <c r="O88" i="1"/>
  <c r="P88" i="1"/>
  <c r="Q88" i="1"/>
  <c r="R88" i="1"/>
  <c r="S88" i="1"/>
  <c r="N88" i="1"/>
  <c r="K89" i="1"/>
  <c r="L89" i="1"/>
  <c r="M89" i="1"/>
  <c r="O89" i="1"/>
  <c r="P89" i="1"/>
  <c r="Q89" i="1"/>
  <c r="R89" i="1"/>
  <c r="S89" i="1"/>
  <c r="N89" i="1"/>
  <c r="K90" i="1"/>
  <c r="L90" i="1"/>
  <c r="M90" i="1"/>
  <c r="O90" i="1"/>
  <c r="P90" i="1"/>
  <c r="Q90" i="1"/>
  <c r="R90" i="1"/>
  <c r="S90" i="1"/>
  <c r="N90" i="1"/>
  <c r="K96" i="1"/>
  <c r="L96" i="1"/>
  <c r="M96" i="1"/>
  <c r="O96" i="1"/>
  <c r="P96" i="1"/>
  <c r="Q96" i="1"/>
  <c r="R96" i="1"/>
  <c r="S96" i="1"/>
  <c r="N96" i="1"/>
  <c r="K98" i="1"/>
  <c r="L98" i="1"/>
  <c r="M98" i="1"/>
  <c r="O98" i="1"/>
  <c r="P98" i="1"/>
  <c r="Q98" i="1"/>
  <c r="R98" i="1"/>
  <c r="S98" i="1"/>
  <c r="N98" i="1"/>
  <c r="K99" i="1"/>
  <c r="L99" i="1"/>
  <c r="M99" i="1"/>
  <c r="O99" i="1"/>
  <c r="P99" i="1"/>
  <c r="Q99" i="1"/>
  <c r="R99" i="1"/>
  <c r="S99" i="1"/>
  <c r="N99" i="1"/>
  <c r="K100" i="1"/>
  <c r="L100" i="1"/>
  <c r="M100" i="1"/>
  <c r="O100" i="1"/>
  <c r="P100" i="1"/>
  <c r="Q100" i="1"/>
  <c r="R100" i="1"/>
  <c r="S100" i="1"/>
  <c r="N100" i="1"/>
  <c r="K101" i="1"/>
  <c r="L101" i="1"/>
  <c r="M101" i="1"/>
  <c r="O101" i="1"/>
  <c r="P101" i="1"/>
  <c r="Q101" i="1"/>
  <c r="R101" i="1"/>
  <c r="S101" i="1"/>
  <c r="N101" i="1"/>
  <c r="K102" i="1"/>
  <c r="L102" i="1"/>
  <c r="M102" i="1"/>
  <c r="O102" i="1"/>
  <c r="P102" i="1"/>
  <c r="Q102" i="1"/>
  <c r="R102" i="1"/>
  <c r="S102" i="1"/>
  <c r="N102" i="1"/>
  <c r="K103" i="1"/>
  <c r="L103" i="1"/>
  <c r="M103" i="1"/>
  <c r="O103" i="1"/>
  <c r="P103" i="1"/>
  <c r="Q103" i="1"/>
  <c r="R103" i="1"/>
  <c r="S103" i="1"/>
  <c r="N103" i="1"/>
  <c r="K104" i="1"/>
  <c r="L104" i="1"/>
  <c r="M104" i="1"/>
  <c r="O104" i="1"/>
  <c r="P104" i="1"/>
  <c r="Q104" i="1"/>
  <c r="R104" i="1"/>
  <c r="S104" i="1"/>
  <c r="N104" i="1"/>
  <c r="K105" i="1"/>
  <c r="L105" i="1"/>
  <c r="M105" i="1"/>
  <c r="O105" i="1"/>
  <c r="P105" i="1"/>
  <c r="Q105" i="1"/>
  <c r="R105" i="1"/>
  <c r="S105" i="1"/>
  <c r="N105" i="1"/>
  <c r="K106" i="1"/>
  <c r="L106" i="1"/>
  <c r="M106" i="1"/>
  <c r="O106" i="1"/>
  <c r="P106" i="1"/>
  <c r="Q106" i="1"/>
  <c r="R106" i="1"/>
  <c r="S106" i="1"/>
  <c r="N106" i="1"/>
  <c r="K107" i="1"/>
  <c r="L107" i="1"/>
  <c r="M107" i="1"/>
  <c r="O107" i="1"/>
  <c r="P107" i="1"/>
  <c r="Q107" i="1"/>
  <c r="R107" i="1"/>
  <c r="S107" i="1"/>
  <c r="N107" i="1"/>
  <c r="K108" i="1"/>
  <c r="L108" i="1"/>
  <c r="M108" i="1"/>
  <c r="O108" i="1"/>
  <c r="P108" i="1"/>
  <c r="Q108" i="1"/>
  <c r="R108" i="1"/>
  <c r="S108" i="1"/>
  <c r="N108" i="1"/>
  <c r="K109" i="1"/>
  <c r="L109" i="1"/>
  <c r="M109" i="1"/>
  <c r="O109" i="1"/>
  <c r="P109" i="1"/>
  <c r="Q109" i="1"/>
  <c r="R109" i="1"/>
  <c r="S109" i="1"/>
  <c r="N109" i="1"/>
  <c r="K110" i="1"/>
  <c r="L110" i="1"/>
  <c r="M110" i="1"/>
  <c r="O110" i="1"/>
  <c r="P110" i="1"/>
  <c r="Q110" i="1"/>
  <c r="R110" i="1"/>
  <c r="S110" i="1"/>
  <c r="N110" i="1"/>
  <c r="K111" i="1"/>
  <c r="L111" i="1"/>
  <c r="M111" i="1"/>
  <c r="O111" i="1"/>
  <c r="P111" i="1"/>
  <c r="Q111" i="1"/>
  <c r="R111" i="1"/>
  <c r="S111" i="1"/>
  <c r="N111" i="1"/>
  <c r="K112" i="1"/>
  <c r="L112" i="1"/>
  <c r="M112" i="1"/>
  <c r="O112" i="1"/>
  <c r="P112" i="1"/>
  <c r="Q112" i="1"/>
  <c r="R112" i="1"/>
  <c r="S112" i="1"/>
  <c r="N112" i="1"/>
  <c r="K113" i="1"/>
  <c r="L113" i="1"/>
  <c r="M113" i="1"/>
  <c r="O113" i="1"/>
  <c r="P113" i="1"/>
  <c r="Q113" i="1"/>
  <c r="R113" i="1"/>
  <c r="S113" i="1"/>
  <c r="N113" i="1"/>
  <c r="K114" i="1"/>
  <c r="L114" i="1"/>
  <c r="M114" i="1"/>
  <c r="O114" i="1"/>
  <c r="P114" i="1"/>
  <c r="Q114" i="1"/>
  <c r="R114" i="1"/>
  <c r="S114" i="1"/>
  <c r="N114" i="1"/>
  <c r="K115" i="1"/>
  <c r="L115" i="1"/>
  <c r="M115" i="1"/>
  <c r="O115" i="1"/>
  <c r="P115" i="1"/>
  <c r="Q115" i="1"/>
  <c r="R115" i="1"/>
  <c r="S115" i="1"/>
  <c r="N115" i="1"/>
  <c r="K116" i="1"/>
  <c r="L116" i="1"/>
  <c r="M116" i="1"/>
  <c r="O116" i="1"/>
  <c r="P116" i="1"/>
  <c r="Q116" i="1"/>
  <c r="R116" i="1"/>
  <c r="S116" i="1"/>
  <c r="N116" i="1"/>
  <c r="K117" i="1"/>
  <c r="L117" i="1"/>
  <c r="M117" i="1"/>
  <c r="O117" i="1"/>
  <c r="P117" i="1"/>
  <c r="Q117" i="1"/>
  <c r="R117" i="1"/>
  <c r="S117" i="1"/>
  <c r="N117" i="1"/>
  <c r="K120" i="1"/>
  <c r="L120" i="1"/>
  <c r="M120" i="1"/>
  <c r="O120" i="1"/>
  <c r="P120" i="1"/>
  <c r="Q120" i="1"/>
  <c r="R120" i="1"/>
  <c r="S120" i="1"/>
  <c r="N120" i="1"/>
  <c r="K121" i="1"/>
  <c r="L121" i="1"/>
  <c r="M121" i="1"/>
  <c r="O121" i="1"/>
  <c r="P121" i="1"/>
  <c r="Q121" i="1"/>
  <c r="R121" i="1"/>
  <c r="S121" i="1"/>
  <c r="N121" i="1"/>
  <c r="K122" i="1"/>
  <c r="L122" i="1"/>
  <c r="M122" i="1"/>
  <c r="O122" i="1"/>
  <c r="P122" i="1"/>
  <c r="Q122" i="1"/>
  <c r="R122" i="1"/>
  <c r="S122" i="1"/>
  <c r="N122" i="1"/>
  <c r="K124" i="1"/>
  <c r="L124" i="1"/>
  <c r="M124" i="1"/>
  <c r="O124" i="1"/>
  <c r="P124" i="1"/>
  <c r="Q124" i="1"/>
  <c r="R124" i="1"/>
  <c r="S124" i="1"/>
  <c r="N124" i="1"/>
  <c r="K125" i="1"/>
  <c r="L125" i="1"/>
  <c r="M125" i="1"/>
  <c r="O125" i="1"/>
  <c r="P125" i="1"/>
  <c r="Q125" i="1"/>
  <c r="R125" i="1"/>
  <c r="S125" i="1"/>
  <c r="N125" i="1"/>
  <c r="K126" i="1"/>
  <c r="L126" i="1"/>
  <c r="M126" i="1"/>
  <c r="O126" i="1"/>
  <c r="P126" i="1"/>
  <c r="Q126" i="1"/>
  <c r="R126" i="1"/>
  <c r="S126" i="1"/>
  <c r="N126" i="1"/>
  <c r="K127" i="1"/>
  <c r="L127" i="1"/>
  <c r="M127" i="1"/>
  <c r="O127" i="1"/>
  <c r="P127" i="1"/>
  <c r="Q127" i="1"/>
  <c r="R127" i="1"/>
  <c r="S127" i="1"/>
  <c r="N127" i="1"/>
  <c r="K128" i="1"/>
  <c r="L128" i="1"/>
  <c r="M128" i="1"/>
  <c r="O128" i="1"/>
  <c r="P128" i="1"/>
  <c r="Q128" i="1"/>
  <c r="R128" i="1"/>
  <c r="S128" i="1"/>
  <c r="N128" i="1"/>
  <c r="K129" i="1"/>
  <c r="L129" i="1"/>
  <c r="M129" i="1"/>
  <c r="O129" i="1"/>
  <c r="P129" i="1"/>
  <c r="Q129" i="1"/>
  <c r="R129" i="1"/>
  <c r="S129" i="1"/>
  <c r="N129" i="1"/>
  <c r="K130" i="1"/>
  <c r="L130" i="1"/>
  <c r="M130" i="1"/>
  <c r="O130" i="1"/>
  <c r="P130" i="1"/>
  <c r="Q130" i="1"/>
  <c r="R130" i="1"/>
  <c r="S130" i="1"/>
  <c r="N130" i="1"/>
  <c r="K131" i="1"/>
  <c r="L131" i="1"/>
  <c r="M131" i="1"/>
  <c r="O131" i="1"/>
  <c r="P131" i="1"/>
  <c r="Q131" i="1"/>
  <c r="R131" i="1"/>
  <c r="S131" i="1"/>
  <c r="N131" i="1"/>
  <c r="K132" i="1"/>
  <c r="L132" i="1"/>
  <c r="M132" i="1"/>
  <c r="O132" i="1"/>
  <c r="P132" i="1"/>
  <c r="Q132" i="1"/>
  <c r="R132" i="1"/>
  <c r="S132" i="1"/>
  <c r="N132" i="1"/>
  <c r="K133" i="1"/>
  <c r="L133" i="1"/>
  <c r="M133" i="1"/>
  <c r="O133" i="1"/>
  <c r="P133" i="1"/>
  <c r="Q133" i="1"/>
  <c r="R133" i="1"/>
  <c r="S133" i="1"/>
  <c r="N133" i="1"/>
  <c r="K134" i="1"/>
  <c r="L134" i="1"/>
  <c r="M134" i="1"/>
  <c r="O134" i="1"/>
  <c r="P134" i="1"/>
  <c r="Q134" i="1"/>
  <c r="R134" i="1"/>
  <c r="S134" i="1"/>
  <c r="N134" i="1"/>
  <c r="K135" i="1"/>
  <c r="L135" i="1"/>
  <c r="M135" i="1"/>
  <c r="O135" i="1"/>
  <c r="P135" i="1"/>
  <c r="Q135" i="1"/>
  <c r="R135" i="1"/>
  <c r="S135" i="1"/>
  <c r="N135" i="1"/>
  <c r="K136" i="1"/>
  <c r="L136" i="1"/>
  <c r="M136" i="1"/>
  <c r="O136" i="1"/>
  <c r="P136" i="1"/>
  <c r="Q136" i="1"/>
  <c r="R136" i="1"/>
  <c r="S136" i="1"/>
  <c r="N136" i="1"/>
  <c r="K137" i="1"/>
  <c r="L137" i="1"/>
  <c r="M137" i="1"/>
  <c r="O137" i="1"/>
  <c r="P137" i="1"/>
  <c r="Q137" i="1"/>
  <c r="R137" i="1"/>
  <c r="S137" i="1"/>
  <c r="N137" i="1"/>
  <c r="K138" i="1"/>
  <c r="L138" i="1"/>
  <c r="M138" i="1"/>
  <c r="O138" i="1"/>
  <c r="P138" i="1"/>
  <c r="Q138" i="1"/>
  <c r="R138" i="1"/>
  <c r="S138" i="1"/>
  <c r="N138" i="1"/>
  <c r="K139" i="1"/>
  <c r="L139" i="1"/>
  <c r="M139" i="1"/>
  <c r="O139" i="1"/>
  <c r="P139" i="1"/>
  <c r="Q139" i="1"/>
  <c r="R139" i="1"/>
  <c r="S139" i="1"/>
  <c r="N139" i="1"/>
  <c r="K140" i="1"/>
  <c r="L140" i="1"/>
  <c r="M140" i="1"/>
  <c r="O140" i="1"/>
  <c r="P140" i="1"/>
  <c r="Q140" i="1"/>
  <c r="R140" i="1"/>
  <c r="S140" i="1"/>
  <c r="N140" i="1"/>
  <c r="K141" i="1"/>
  <c r="L141" i="1"/>
  <c r="M141" i="1"/>
  <c r="O141" i="1"/>
  <c r="P141" i="1"/>
  <c r="Q141" i="1"/>
  <c r="R141" i="1"/>
  <c r="S141" i="1"/>
  <c r="N141" i="1"/>
  <c r="K142" i="1"/>
  <c r="L142" i="1"/>
  <c r="M142" i="1"/>
  <c r="O142" i="1"/>
  <c r="P142" i="1"/>
  <c r="Q142" i="1"/>
  <c r="R142" i="1"/>
  <c r="S142" i="1"/>
  <c r="N142" i="1"/>
  <c r="K143" i="1"/>
  <c r="L143" i="1"/>
  <c r="M143" i="1"/>
  <c r="O143" i="1"/>
  <c r="P143" i="1"/>
  <c r="Q143" i="1"/>
  <c r="R143" i="1"/>
  <c r="S143" i="1"/>
  <c r="N143" i="1"/>
  <c r="K144" i="1"/>
  <c r="L144" i="1"/>
  <c r="M144" i="1"/>
  <c r="O144" i="1"/>
  <c r="P144" i="1"/>
  <c r="Q144" i="1"/>
  <c r="R144" i="1"/>
  <c r="S144" i="1"/>
  <c r="N144" i="1"/>
  <c r="K145" i="1"/>
  <c r="L145" i="1"/>
  <c r="M145" i="1"/>
  <c r="O145" i="1"/>
  <c r="P145" i="1"/>
  <c r="Q145" i="1"/>
  <c r="R145" i="1"/>
  <c r="S145" i="1"/>
  <c r="N145" i="1"/>
  <c r="K146" i="1"/>
  <c r="L146" i="1"/>
  <c r="M146" i="1"/>
  <c r="O146" i="1"/>
  <c r="P146" i="1"/>
  <c r="Q146" i="1"/>
  <c r="R146" i="1"/>
  <c r="S146" i="1"/>
  <c r="N146" i="1"/>
  <c r="K147" i="1"/>
  <c r="L147" i="1"/>
  <c r="M147" i="1"/>
  <c r="O147" i="1"/>
  <c r="P147" i="1"/>
  <c r="Q147" i="1"/>
  <c r="R147" i="1"/>
  <c r="S147" i="1"/>
  <c r="N147" i="1"/>
  <c r="K148" i="1"/>
  <c r="L148" i="1"/>
  <c r="M148" i="1"/>
  <c r="O148" i="1"/>
  <c r="P148" i="1"/>
  <c r="Q148" i="1"/>
  <c r="R148" i="1"/>
  <c r="S148" i="1"/>
  <c r="N148" i="1"/>
  <c r="K149" i="1"/>
  <c r="L149" i="1"/>
  <c r="M149" i="1"/>
  <c r="O149" i="1"/>
  <c r="P149" i="1"/>
  <c r="Q149" i="1"/>
  <c r="R149" i="1"/>
  <c r="S149" i="1"/>
  <c r="N149" i="1"/>
  <c r="K150" i="1"/>
  <c r="L150" i="1"/>
  <c r="M150" i="1"/>
  <c r="O150" i="1"/>
  <c r="P150" i="1"/>
  <c r="Q150" i="1"/>
  <c r="R150" i="1"/>
  <c r="S150" i="1"/>
  <c r="N150" i="1"/>
  <c r="K151" i="1"/>
  <c r="L151" i="1"/>
  <c r="M151" i="1"/>
  <c r="O151" i="1"/>
  <c r="P151" i="1"/>
  <c r="Q151" i="1"/>
  <c r="R151" i="1"/>
  <c r="S151" i="1"/>
  <c r="N151" i="1"/>
  <c r="K152" i="1"/>
  <c r="L152" i="1"/>
  <c r="M152" i="1"/>
  <c r="O152" i="1"/>
  <c r="P152" i="1"/>
  <c r="Q152" i="1"/>
  <c r="R152" i="1"/>
  <c r="S152" i="1"/>
  <c r="N152" i="1"/>
  <c r="K153" i="1"/>
  <c r="L153" i="1"/>
  <c r="M153" i="1"/>
  <c r="O153" i="1"/>
  <c r="P153" i="1"/>
  <c r="Q153" i="1"/>
  <c r="R153" i="1"/>
  <c r="S153" i="1"/>
  <c r="N153" i="1"/>
  <c r="K155" i="1"/>
  <c r="L155" i="1"/>
  <c r="M155" i="1"/>
  <c r="O155" i="1"/>
  <c r="P155" i="1"/>
  <c r="Q155" i="1"/>
  <c r="R155" i="1"/>
  <c r="S155" i="1"/>
  <c r="N155" i="1"/>
  <c r="K156" i="1"/>
  <c r="L156" i="1"/>
  <c r="M156" i="1"/>
  <c r="O156" i="1"/>
  <c r="P156" i="1"/>
  <c r="Q156" i="1"/>
  <c r="R156" i="1"/>
  <c r="S156" i="1"/>
  <c r="N156" i="1"/>
  <c r="K157" i="1"/>
  <c r="L157" i="1"/>
  <c r="M157" i="1"/>
  <c r="O157" i="1"/>
  <c r="P157" i="1"/>
  <c r="Q157" i="1"/>
  <c r="R157" i="1"/>
  <c r="S157" i="1"/>
  <c r="N157" i="1"/>
  <c r="K158" i="1"/>
  <c r="L158" i="1"/>
  <c r="M158" i="1"/>
  <c r="O158" i="1"/>
  <c r="P158" i="1"/>
  <c r="Q158" i="1"/>
  <c r="R158" i="1"/>
  <c r="S158" i="1"/>
  <c r="N158" i="1"/>
  <c r="K159" i="1"/>
  <c r="L159" i="1"/>
  <c r="M159" i="1"/>
  <c r="O159" i="1"/>
  <c r="P159" i="1"/>
  <c r="Q159" i="1"/>
  <c r="R159" i="1"/>
  <c r="S159" i="1"/>
  <c r="N159" i="1"/>
  <c r="K160" i="1"/>
  <c r="L160" i="1"/>
  <c r="M160" i="1"/>
  <c r="O160" i="1"/>
  <c r="P160" i="1"/>
  <c r="Q160" i="1"/>
  <c r="R160" i="1"/>
  <c r="S160" i="1"/>
  <c r="N160" i="1"/>
  <c r="K161" i="1"/>
  <c r="L161" i="1"/>
  <c r="M161" i="1"/>
  <c r="O161" i="1"/>
  <c r="P161" i="1"/>
  <c r="Q161" i="1"/>
  <c r="R161" i="1"/>
  <c r="S161" i="1"/>
  <c r="N161" i="1"/>
  <c r="K165" i="1"/>
  <c r="L165" i="1"/>
  <c r="M165" i="1"/>
  <c r="O165" i="1"/>
  <c r="P165" i="1"/>
  <c r="Q165" i="1"/>
  <c r="R165" i="1"/>
  <c r="S165" i="1"/>
  <c r="N165" i="1"/>
  <c r="K166" i="1"/>
  <c r="L166" i="1"/>
  <c r="M166" i="1"/>
  <c r="O166" i="1"/>
  <c r="P166" i="1"/>
  <c r="Q166" i="1"/>
  <c r="R166" i="1"/>
  <c r="S166" i="1"/>
  <c r="N166" i="1"/>
  <c r="K167" i="1"/>
  <c r="L167" i="1"/>
  <c r="M167" i="1"/>
  <c r="O167" i="1"/>
  <c r="P167" i="1"/>
  <c r="Q167" i="1"/>
  <c r="R167" i="1"/>
  <c r="S167" i="1"/>
  <c r="N167" i="1"/>
  <c r="K168" i="1"/>
  <c r="L168" i="1"/>
  <c r="M168" i="1"/>
  <c r="O168" i="1"/>
  <c r="P168" i="1"/>
  <c r="Q168" i="1"/>
  <c r="R168" i="1"/>
  <c r="S168" i="1"/>
  <c r="N168" i="1"/>
  <c r="K169" i="1"/>
  <c r="L169" i="1"/>
  <c r="M169" i="1"/>
  <c r="O169" i="1"/>
  <c r="P169" i="1"/>
  <c r="Q169" i="1"/>
  <c r="R169" i="1"/>
  <c r="S169" i="1"/>
  <c r="N169" i="1"/>
  <c r="K170" i="1"/>
  <c r="L170" i="1"/>
  <c r="M170" i="1"/>
  <c r="O170" i="1"/>
  <c r="P170" i="1"/>
  <c r="Q170" i="1"/>
  <c r="R170" i="1"/>
  <c r="S170" i="1"/>
  <c r="N170" i="1"/>
  <c r="K171" i="1"/>
  <c r="L171" i="1"/>
  <c r="M171" i="1"/>
  <c r="O171" i="1"/>
  <c r="P171" i="1"/>
  <c r="Q171" i="1"/>
  <c r="R171" i="1"/>
  <c r="S171" i="1"/>
  <c r="N171" i="1"/>
  <c r="K172" i="1"/>
  <c r="L172" i="1"/>
  <c r="M172" i="1"/>
  <c r="O172" i="1"/>
  <c r="P172" i="1"/>
  <c r="Q172" i="1"/>
  <c r="R172" i="1"/>
  <c r="S172" i="1"/>
  <c r="N172" i="1"/>
  <c r="K173" i="1"/>
  <c r="L173" i="1"/>
  <c r="M173" i="1"/>
  <c r="O173" i="1"/>
  <c r="P173" i="1"/>
  <c r="Q173" i="1"/>
  <c r="R173" i="1"/>
  <c r="S173" i="1"/>
  <c r="N173" i="1"/>
  <c r="K174" i="1"/>
  <c r="L174" i="1"/>
  <c r="M174" i="1"/>
  <c r="O174" i="1"/>
  <c r="P174" i="1"/>
  <c r="Q174" i="1"/>
  <c r="R174" i="1"/>
  <c r="S174" i="1"/>
  <c r="N174" i="1"/>
  <c r="K175" i="1"/>
  <c r="L175" i="1"/>
  <c r="M175" i="1"/>
  <c r="O175" i="1"/>
  <c r="P175" i="1"/>
  <c r="Q175" i="1"/>
  <c r="R175" i="1"/>
  <c r="S175" i="1"/>
  <c r="N175" i="1"/>
  <c r="K177" i="1"/>
  <c r="L177" i="1"/>
  <c r="M177" i="1"/>
  <c r="O177" i="1"/>
  <c r="P177" i="1"/>
  <c r="Q177" i="1"/>
  <c r="R177" i="1"/>
  <c r="S177" i="1"/>
  <c r="N177" i="1"/>
  <c r="K180" i="1"/>
  <c r="L180" i="1"/>
  <c r="M180" i="1"/>
  <c r="O180" i="1"/>
  <c r="P180" i="1"/>
  <c r="Q180" i="1"/>
  <c r="R180" i="1"/>
  <c r="S180" i="1"/>
  <c r="N180" i="1"/>
  <c r="K3" i="1"/>
  <c r="L3" i="1"/>
  <c r="M3" i="1"/>
  <c r="O3" i="1"/>
  <c r="P3" i="1"/>
  <c r="Q3" i="1"/>
  <c r="R3" i="1"/>
  <c r="S3" i="1"/>
  <c r="N3" i="1"/>
  <c r="K4" i="1"/>
  <c r="L4" i="1"/>
  <c r="M4" i="1"/>
  <c r="O4" i="1"/>
  <c r="P4" i="1"/>
  <c r="Q4" i="1"/>
  <c r="R4" i="1"/>
  <c r="S4" i="1"/>
  <c r="N4" i="1"/>
  <c r="K5" i="1"/>
  <c r="L5" i="1"/>
  <c r="M5" i="1"/>
  <c r="O5" i="1"/>
  <c r="P5" i="1"/>
  <c r="Q5" i="1"/>
  <c r="R5" i="1"/>
  <c r="S5" i="1"/>
  <c r="N5" i="1"/>
  <c r="K6" i="1"/>
  <c r="L6" i="1"/>
  <c r="M6" i="1"/>
  <c r="O6" i="1"/>
  <c r="P6" i="1"/>
  <c r="Q6" i="1"/>
  <c r="R6" i="1"/>
  <c r="S6" i="1"/>
  <c r="N6" i="1"/>
  <c r="K7" i="1"/>
  <c r="L7" i="1"/>
  <c r="M7" i="1"/>
  <c r="O7" i="1"/>
  <c r="P7" i="1"/>
  <c r="Q7" i="1"/>
  <c r="R7" i="1"/>
  <c r="S7" i="1"/>
  <c r="N7" i="1"/>
  <c r="N2" i="1"/>
  <c r="S2" i="1"/>
  <c r="R2" i="1"/>
  <c r="Q2" i="1"/>
  <c r="M2" i="1"/>
  <c r="K2" i="1"/>
  <c r="L2" i="1"/>
  <c r="H179" i="1"/>
  <c r="M179" i="1" s="1"/>
  <c r="H178" i="1"/>
  <c r="O178" i="1" s="1"/>
  <c r="H176" i="1"/>
  <c r="L176" i="1" s="1"/>
  <c r="H164" i="1"/>
  <c r="L164" i="1" s="1"/>
  <c r="H163" i="1"/>
  <c r="M163" i="1" s="1"/>
  <c r="H162" i="1"/>
  <c r="O162" i="1" s="1"/>
  <c r="H154" i="1"/>
  <c r="O154" i="1" s="1"/>
  <c r="H119" i="1"/>
  <c r="M119" i="1" s="1"/>
  <c r="H118" i="1"/>
  <c r="O118" i="1" s="1"/>
  <c r="H97" i="1"/>
  <c r="K97" i="1" s="1"/>
  <c r="H95" i="1"/>
  <c r="M95" i="1" s="1"/>
  <c r="H94" i="1"/>
  <c r="O94" i="1" s="1"/>
  <c r="H93" i="1"/>
  <c r="K93" i="1" s="1"/>
  <c r="H92" i="1"/>
  <c r="L92" i="1" s="1"/>
  <c r="H91" i="1"/>
  <c r="M91" i="1" s="1"/>
  <c r="H86" i="1"/>
  <c r="O86" i="1" s="1"/>
  <c r="H74" i="1"/>
  <c r="O74" i="1" s="1"/>
  <c r="H73" i="1"/>
  <c r="K73" i="1" s="1"/>
  <c r="H72" i="1"/>
  <c r="L72" i="1" s="1"/>
  <c r="H71" i="1"/>
  <c r="M71" i="1" s="1"/>
  <c r="H68" i="1"/>
  <c r="L68" i="1" s="1"/>
  <c r="H58" i="1"/>
  <c r="O58" i="1" s="1"/>
  <c r="H63" i="1"/>
  <c r="M63" i="1" s="1"/>
  <c r="H55" i="1"/>
  <c r="M55" i="1" s="1"/>
  <c r="O2" i="1"/>
  <c r="P2" i="1"/>
  <c r="L188" i="2"/>
  <c r="K188" i="2"/>
  <c r="L182" i="2"/>
  <c r="K182" i="2"/>
  <c r="L176" i="2"/>
  <c r="K176" i="2"/>
  <c r="L170" i="2"/>
  <c r="K170" i="2"/>
  <c r="L164" i="2"/>
  <c r="K164" i="2"/>
  <c r="L158" i="2"/>
  <c r="K158" i="2"/>
  <c r="L152" i="2"/>
  <c r="K152" i="2"/>
  <c r="L146" i="2"/>
  <c r="K146" i="2"/>
  <c r="L140" i="2"/>
  <c r="K140" i="2"/>
  <c r="L134" i="2"/>
  <c r="K134" i="2"/>
  <c r="L128" i="2"/>
  <c r="K128" i="2"/>
  <c r="L122" i="2"/>
  <c r="K122" i="2"/>
  <c r="L116" i="2"/>
  <c r="K116" i="2"/>
  <c r="L110" i="2"/>
  <c r="K110" i="2"/>
  <c r="L104" i="2"/>
  <c r="K104" i="2"/>
  <c r="L98" i="2"/>
  <c r="K98" i="2"/>
  <c r="L92" i="2"/>
  <c r="K92" i="2"/>
  <c r="L86" i="2"/>
  <c r="K86" i="2"/>
  <c r="L80" i="2"/>
  <c r="K80" i="2"/>
  <c r="L74" i="2"/>
  <c r="K74" i="2"/>
  <c r="L68" i="2"/>
  <c r="K68" i="2"/>
  <c r="L62" i="2"/>
  <c r="K62" i="2"/>
  <c r="L56" i="2"/>
  <c r="K56" i="2"/>
  <c r="L50" i="2"/>
  <c r="K50" i="2"/>
  <c r="L44" i="2"/>
  <c r="K44" i="2"/>
  <c r="L38" i="2"/>
  <c r="K38" i="2"/>
  <c r="L32" i="2"/>
  <c r="K32" i="2"/>
  <c r="L26" i="2"/>
  <c r="K26" i="2"/>
  <c r="L20" i="2"/>
  <c r="K20" i="2"/>
  <c r="L14" i="2"/>
  <c r="K14" i="2"/>
  <c r="L8" i="2"/>
  <c r="K8" i="2"/>
  <c r="L2" i="2"/>
  <c r="K2" i="2"/>
  <c r="W177" i="5" l="1"/>
  <c r="V119" i="5"/>
  <c r="W91" i="5"/>
  <c r="V95" i="5"/>
  <c r="W175" i="5"/>
  <c r="U55" i="6"/>
  <c r="U74" i="6"/>
  <c r="W92" i="5"/>
  <c r="V91" i="5"/>
  <c r="U175" i="6"/>
  <c r="V153" i="6"/>
  <c r="U86" i="6"/>
  <c r="U95" i="5"/>
  <c r="U162" i="6"/>
  <c r="V162" i="6"/>
  <c r="V97" i="6"/>
  <c r="U97" i="6"/>
  <c r="T58" i="6"/>
  <c r="S58" i="6"/>
  <c r="V175" i="5"/>
  <c r="V177" i="5"/>
  <c r="V163" i="5"/>
  <c r="U94" i="5"/>
  <c r="W86" i="5"/>
  <c r="U91" i="5"/>
  <c r="V161" i="6"/>
  <c r="U161" i="6"/>
  <c r="T119" i="6"/>
  <c r="S119" i="6"/>
  <c r="T92" i="6"/>
  <c r="S92" i="6"/>
  <c r="T63" i="6"/>
  <c r="S63" i="6"/>
  <c r="U95" i="6"/>
  <c r="V95" i="6"/>
  <c r="T55" i="6"/>
  <c r="S55" i="6"/>
  <c r="T178" i="6"/>
  <c r="S178" i="6"/>
  <c r="T93" i="6"/>
  <c r="S93" i="6"/>
  <c r="U68" i="6"/>
  <c r="V68" i="6"/>
  <c r="T91" i="6"/>
  <c r="S91" i="6"/>
  <c r="T162" i="6"/>
  <c r="S162" i="6"/>
  <c r="U92" i="6"/>
  <c r="V92" i="6"/>
  <c r="T68" i="6"/>
  <c r="S68" i="6"/>
  <c r="T118" i="6"/>
  <c r="S118" i="6"/>
  <c r="T177" i="6"/>
  <c r="S177" i="6"/>
  <c r="U93" i="6"/>
  <c r="V93" i="6"/>
  <c r="T74" i="6"/>
  <c r="S74" i="6"/>
  <c r="U175" i="5"/>
  <c r="W119" i="5"/>
  <c r="T86" i="5"/>
  <c r="S163" i="6"/>
  <c r="T163" i="6"/>
  <c r="T161" i="6"/>
  <c r="S161" i="6"/>
  <c r="U119" i="6"/>
  <c r="V119" i="6"/>
  <c r="T95" i="6"/>
  <c r="S95" i="6"/>
  <c r="T73" i="6"/>
  <c r="S73" i="6"/>
  <c r="T86" i="6"/>
  <c r="S86" i="6"/>
  <c r="T175" i="6"/>
  <c r="S175" i="6"/>
  <c r="S72" i="6"/>
  <c r="T72" i="6"/>
  <c r="U163" i="6"/>
  <c r="V163" i="6"/>
  <c r="V175" i="6"/>
  <c r="U153" i="6"/>
  <c r="V55" i="6"/>
  <c r="U178" i="6"/>
  <c r="V178" i="6"/>
  <c r="U118" i="6"/>
  <c r="V118" i="6"/>
  <c r="U71" i="6"/>
  <c r="V71" i="6"/>
  <c r="U58" i="6"/>
  <c r="V58" i="6"/>
  <c r="U94" i="6"/>
  <c r="V94" i="6"/>
  <c r="T161" i="5"/>
  <c r="V177" i="6"/>
  <c r="U177" i="6"/>
  <c r="U91" i="6"/>
  <c r="V91" i="6"/>
  <c r="T71" i="6"/>
  <c r="S71" i="6"/>
  <c r="T153" i="6"/>
  <c r="S153" i="6"/>
  <c r="U73" i="6"/>
  <c r="V73" i="6"/>
  <c r="V72" i="6"/>
  <c r="U72" i="6"/>
  <c r="U63" i="6"/>
  <c r="V63" i="6"/>
  <c r="T94" i="6"/>
  <c r="S94" i="6"/>
  <c r="T97" i="6"/>
  <c r="S97" i="6"/>
  <c r="W162" i="5"/>
  <c r="V162" i="5"/>
  <c r="U119" i="5"/>
  <c r="U72" i="5"/>
  <c r="T72" i="5"/>
  <c r="U55" i="5"/>
  <c r="T55" i="5"/>
  <c r="U58" i="5"/>
  <c r="T58" i="5"/>
  <c r="U163" i="5"/>
  <c r="U97" i="5"/>
  <c r="T97" i="5"/>
  <c r="U73" i="5"/>
  <c r="T73" i="5"/>
  <c r="U68" i="5"/>
  <c r="T68" i="5"/>
  <c r="V94" i="5"/>
  <c r="U74" i="5"/>
  <c r="T74" i="5"/>
  <c r="W72" i="5"/>
  <c r="V72" i="5"/>
  <c r="W55" i="5"/>
  <c r="V55" i="5"/>
  <c r="T93" i="5"/>
  <c r="W58" i="5"/>
  <c r="V58" i="5"/>
  <c r="W153" i="5"/>
  <c r="V153" i="5"/>
  <c r="W73" i="5"/>
  <c r="V73" i="5"/>
  <c r="T175" i="5"/>
  <c r="T178" i="5"/>
  <c r="U178" i="5"/>
  <c r="U161" i="5"/>
  <c r="W118" i="5"/>
  <c r="V118" i="5"/>
  <c r="W71" i="5"/>
  <c r="V71" i="5"/>
  <c r="T177" i="5"/>
  <c r="W74" i="5"/>
  <c r="V74" i="5"/>
  <c r="T94" i="5"/>
  <c r="W97" i="5"/>
  <c r="V97" i="5"/>
  <c r="W68" i="5"/>
  <c r="V68" i="5"/>
  <c r="W63" i="5"/>
  <c r="V63" i="5"/>
  <c r="U153" i="5"/>
  <c r="T153" i="5"/>
  <c r="W178" i="5"/>
  <c r="V178" i="5"/>
  <c r="T162" i="5"/>
  <c r="U162" i="5"/>
  <c r="U71" i="5"/>
  <c r="T71" i="5"/>
  <c r="U63" i="5"/>
  <c r="T63" i="5"/>
  <c r="T92" i="5"/>
  <c r="Q119" i="1"/>
  <c r="N179" i="1"/>
  <c r="O179" i="1"/>
  <c r="Q178" i="1"/>
  <c r="M94" i="1"/>
  <c r="M74" i="1"/>
  <c r="P68" i="1"/>
  <c r="R162" i="1"/>
  <c r="L71" i="1"/>
  <c r="P92" i="1"/>
  <c r="P179" i="1"/>
  <c r="R178" i="1"/>
  <c r="L163" i="1"/>
  <c r="M118" i="1"/>
  <c r="R94" i="1"/>
  <c r="N92" i="1"/>
  <c r="M86" i="1"/>
  <c r="R74" i="1"/>
  <c r="Q71" i="1"/>
  <c r="N68" i="1"/>
  <c r="M58" i="1"/>
  <c r="L55" i="1"/>
  <c r="N176" i="1"/>
  <c r="S97" i="1"/>
  <c r="S179" i="1"/>
  <c r="L179" i="1"/>
  <c r="M178" i="1"/>
  <c r="P176" i="1"/>
  <c r="M162" i="1"/>
  <c r="R154" i="1"/>
  <c r="L119" i="1"/>
  <c r="O97" i="1"/>
  <c r="S93" i="1"/>
  <c r="K92" i="1"/>
  <c r="S73" i="1"/>
  <c r="K68" i="1"/>
  <c r="Q179" i="1"/>
  <c r="K179" i="1"/>
  <c r="L178" i="1"/>
  <c r="K176" i="1"/>
  <c r="Q163" i="1"/>
  <c r="M154" i="1"/>
  <c r="R118" i="1"/>
  <c r="O93" i="1"/>
  <c r="R86" i="1"/>
  <c r="O73" i="1"/>
  <c r="R58" i="1"/>
  <c r="Q55" i="1"/>
  <c r="N164" i="1"/>
  <c r="K164" i="1"/>
  <c r="L95" i="1"/>
  <c r="P72" i="1"/>
  <c r="L63" i="1"/>
  <c r="S176" i="1"/>
  <c r="S164" i="1"/>
  <c r="O164" i="1"/>
  <c r="N163" i="1"/>
  <c r="P163" i="1"/>
  <c r="K163" i="1"/>
  <c r="Q162" i="1"/>
  <c r="L162" i="1"/>
  <c r="Q154" i="1"/>
  <c r="L154" i="1"/>
  <c r="N119" i="1"/>
  <c r="P119" i="1"/>
  <c r="K119" i="1"/>
  <c r="Q118" i="1"/>
  <c r="L118" i="1"/>
  <c r="R97" i="1"/>
  <c r="M97" i="1"/>
  <c r="N95" i="1"/>
  <c r="P95" i="1"/>
  <c r="K95" i="1"/>
  <c r="Q94" i="1"/>
  <c r="L94" i="1"/>
  <c r="R93" i="1"/>
  <c r="M93" i="1"/>
  <c r="S92" i="1"/>
  <c r="O92" i="1"/>
  <c r="N91" i="1"/>
  <c r="P91" i="1"/>
  <c r="K91" i="1"/>
  <c r="Q86" i="1"/>
  <c r="L86" i="1"/>
  <c r="Q74" i="1"/>
  <c r="L74" i="1"/>
  <c r="R73" i="1"/>
  <c r="M73" i="1"/>
  <c r="S72" i="1"/>
  <c r="O72" i="1"/>
  <c r="N71" i="1"/>
  <c r="P71" i="1"/>
  <c r="K71" i="1"/>
  <c r="S68" i="1"/>
  <c r="O68" i="1"/>
  <c r="N63" i="1"/>
  <c r="P63" i="1"/>
  <c r="K63" i="1"/>
  <c r="Q58" i="1"/>
  <c r="L58" i="1"/>
  <c r="N55" i="1"/>
  <c r="P55" i="1"/>
  <c r="K55" i="1"/>
  <c r="Q95" i="1"/>
  <c r="L91" i="1"/>
  <c r="N72" i="1"/>
  <c r="K72" i="1"/>
  <c r="O176" i="1"/>
  <c r="N178" i="1"/>
  <c r="P178" i="1"/>
  <c r="K178" i="1"/>
  <c r="R176" i="1"/>
  <c r="M176" i="1"/>
  <c r="R164" i="1"/>
  <c r="M164" i="1"/>
  <c r="S163" i="1"/>
  <c r="O163" i="1"/>
  <c r="N162" i="1"/>
  <c r="P162" i="1"/>
  <c r="K162" i="1"/>
  <c r="N154" i="1"/>
  <c r="P154" i="1"/>
  <c r="K154" i="1"/>
  <c r="S119" i="1"/>
  <c r="O119" i="1"/>
  <c r="N118" i="1"/>
  <c r="P118" i="1"/>
  <c r="K118" i="1"/>
  <c r="Q97" i="1"/>
  <c r="L97" i="1"/>
  <c r="S95" i="1"/>
  <c r="O95" i="1"/>
  <c r="N94" i="1"/>
  <c r="P94" i="1"/>
  <c r="K94" i="1"/>
  <c r="Q93" i="1"/>
  <c r="L93" i="1"/>
  <c r="R92" i="1"/>
  <c r="M92" i="1"/>
  <c r="S91" i="1"/>
  <c r="O91" i="1"/>
  <c r="N86" i="1"/>
  <c r="P86" i="1"/>
  <c r="K86" i="1"/>
  <c r="N74" i="1"/>
  <c r="P74" i="1"/>
  <c r="K74" i="1"/>
  <c r="Q73" i="1"/>
  <c r="L73" i="1"/>
  <c r="R72" i="1"/>
  <c r="M72" i="1"/>
  <c r="S71" i="1"/>
  <c r="O71" i="1"/>
  <c r="R68" i="1"/>
  <c r="M68" i="1"/>
  <c r="S63" i="1"/>
  <c r="O63" i="1"/>
  <c r="N58" i="1"/>
  <c r="P58" i="1"/>
  <c r="K58" i="1"/>
  <c r="S55" i="1"/>
  <c r="O55" i="1"/>
  <c r="P164" i="1"/>
  <c r="Q91" i="1"/>
  <c r="Q63" i="1"/>
  <c r="R179" i="1"/>
  <c r="S178" i="1"/>
  <c r="Q176" i="1"/>
  <c r="Q164" i="1"/>
  <c r="R163" i="1"/>
  <c r="S162" i="1"/>
  <c r="S154" i="1"/>
  <c r="R119" i="1"/>
  <c r="S118" i="1"/>
  <c r="N97" i="1"/>
  <c r="P97" i="1"/>
  <c r="R95" i="1"/>
  <c r="S94" i="1"/>
  <c r="N93" i="1"/>
  <c r="P93" i="1"/>
  <c r="Q92" i="1"/>
  <c r="R91" i="1"/>
  <c r="S86" i="1"/>
  <c r="S74" i="1"/>
  <c r="N73" i="1"/>
  <c r="P73" i="1"/>
  <c r="Q72" i="1"/>
  <c r="R71" i="1"/>
  <c r="Q68" i="1"/>
  <c r="R63" i="1"/>
  <c r="S58" i="1"/>
  <c r="R55" i="1"/>
  <c r="T180" i="6" l="1"/>
  <c r="V180" i="6"/>
</calcChain>
</file>

<file path=xl/sharedStrings.xml><?xml version="1.0" encoding="utf-8"?>
<sst xmlns="http://schemas.openxmlformats.org/spreadsheetml/2006/main" count="6851" uniqueCount="535">
  <si>
    <t>Espécie</t>
  </si>
  <si>
    <t>Tratamento</t>
  </si>
  <si>
    <t>Área</t>
  </si>
  <si>
    <t>Bloco</t>
  </si>
  <si>
    <t>Parcela</t>
  </si>
  <si>
    <t>No Arv.</t>
  </si>
  <si>
    <t>Família</t>
  </si>
  <si>
    <t>DAP</t>
  </si>
  <si>
    <t>Altura</t>
  </si>
  <si>
    <t>Densidade individual</t>
  </si>
  <si>
    <t>Equação 1</t>
  </si>
  <si>
    <t>Equação 2</t>
  </si>
  <si>
    <t>Equação 3</t>
  </si>
  <si>
    <t>Equação 4</t>
  </si>
  <si>
    <t>Equação 5</t>
  </si>
  <si>
    <t>Equação 6</t>
  </si>
  <si>
    <t>Equação 7</t>
  </si>
  <si>
    <t>Equação 8</t>
  </si>
  <si>
    <t>Equação 9</t>
  </si>
  <si>
    <t>Peltophorum dubium (Canafístula)</t>
  </si>
  <si>
    <t>SAFM</t>
  </si>
  <si>
    <t>Fabaceae</t>
  </si>
  <si>
    <t>Equações</t>
  </si>
  <si>
    <t>BFcc = 0,024530 ⋅ DAP^2,443356 ⋅ Ht^0,423602</t>
  </si>
  <si>
    <t>CMLM</t>
  </si>
  <si>
    <t>BFcc = 0,024393 * (DAP²*H)</t>
  </si>
  <si>
    <t>CMLT</t>
  </si>
  <si>
    <t>BFsc = 0,015790⋅ DAP^2,356307 ⋅ H^0,623614  (Biomassa sem a casca)</t>
  </si>
  <si>
    <t>Amaro 2010</t>
  </si>
  <si>
    <t>Dipteryx alata Vogel (Cumbaru)</t>
  </si>
  <si>
    <t>DIV</t>
  </si>
  <si>
    <t>log(𝑏𝑖𝑜𝑚𝑎𝑠𝑠𝑎 𝑡𝑜𝑡𝑎𝑙 𝑠𝑒𝑐𝑎) = −0,717903255 + 0,940214879. log(𝑑𝑎𝑝) + 1,345432588. log(ℎ𝑡). 1,109844005</t>
  </si>
  <si>
    <t>Meira, A. C. S. et al 2020</t>
  </si>
  <si>
    <t>𝐴𝐺𝐵𝑒𝑠𝑡 = 0.0559 ∗ (𝜌𝐷^2𝐻) em KG</t>
  </si>
  <si>
    <t>𝐴𝐺𝐵𝑒𝑠𝑡 = 0.0673 ∗ (𝜌𝐷 2𝐻) 0.976 em KG</t>
  </si>
  <si>
    <t>chave et al 2014</t>
  </si>
  <si>
    <t>Croton floribundus (Capixingui)</t>
  </si>
  <si>
    <t>Euphorbiaceae</t>
  </si>
  <si>
    <t>SEM</t>
  </si>
  <si>
    <t>log (𝐴𝐺𝐵) = −1.305 + 1.055 log(𝐷𝐵𝐻 2 ) + 0.34 log(𝐻) + 1.077 log WD em KG</t>
  </si>
  <si>
    <t>log (𝐴𝐺𝐵) = − 0.970 + 1.1421 log(𝐷𝐵𝐻 2 ∗ 𝑊𝐷) em KG</t>
  </si>
  <si>
    <t>log (𝐴𝐺𝐵) = −1.027 + 1.144 log(𝐷𝐵𝐻 2 ) + 1.085 𝑙𝑜𝑔(𝑊𝐷) em KG</t>
  </si>
  <si>
    <t>Nogueira 2014</t>
  </si>
  <si>
    <t>Zeyheria tuberculosa (Ipê-felpudo)</t>
  </si>
  <si>
    <t>SAFT</t>
  </si>
  <si>
    <t>Bignoniaceae</t>
  </si>
  <si>
    <t>DAP equivalente = Raiz DBH1²+DBH2²+DBHN²</t>
  </si>
  <si>
    <t>Biomassa = exp (-2,134 + 2,53 * ln DAP)</t>
  </si>
  <si>
    <t>Machaerium hirtum (Jacarandá-bico-de-pato)</t>
  </si>
  <si>
    <t>Brown 1997 apud. Azevedo 2018</t>
  </si>
  <si>
    <t>AGB= 0.0509 * Db * D2 *H</t>
  </si>
  <si>
    <t>chave et al 2005</t>
  </si>
  <si>
    <t>Centrolobium tomentosum (Araribá)</t>
  </si>
  <si>
    <t>Aspidosperma polyneuron (peroba-rosa)</t>
  </si>
  <si>
    <t>Apocynaceae</t>
  </si>
  <si>
    <t>Myroxylum peruiferum (Cabreúva)</t>
  </si>
  <si>
    <t>Cedrela fissilis (Cedro)</t>
  </si>
  <si>
    <t>Meliaceae</t>
  </si>
  <si>
    <t>Moquiniastrum polymorphum (Cambará)</t>
  </si>
  <si>
    <t>CON</t>
  </si>
  <si>
    <t>Asteraceae</t>
  </si>
  <si>
    <t>Senegalia polyphylla (Monjoleiro)</t>
  </si>
  <si>
    <t>Urera baccifera (Urtiga)</t>
  </si>
  <si>
    <t>Urticaceae</t>
  </si>
  <si>
    <t>Psidium guajava (Goiabeira)</t>
  </si>
  <si>
    <t>Myrtaceae</t>
  </si>
  <si>
    <t>Machaerium brasiliensis</t>
  </si>
  <si>
    <t>Aloysia virgata (Lixeira)</t>
  </si>
  <si>
    <t>Verbenaceae</t>
  </si>
  <si>
    <t>Tabernaemontana hystrix (Leiteiro)</t>
  </si>
  <si>
    <t>Schinus terebinthifolia (Aroeira-pimenteira)</t>
  </si>
  <si>
    <t>Anacardiaceae</t>
  </si>
  <si>
    <t>Copaifera langsdorffii (Copaíba)</t>
  </si>
  <si>
    <t>Citharexylum myrianthum (Pau-viola)</t>
  </si>
  <si>
    <t>Lonchocaspus cultratus</t>
  </si>
  <si>
    <t>Mimosa caesalpininiifolia (Sansão-do-campo)</t>
  </si>
  <si>
    <t>Parapiptadenia rigida (Angico-vermelho)</t>
  </si>
  <si>
    <t>Pterogyne nitens (Amendoim-bravo)</t>
  </si>
  <si>
    <t>Schizolobium parahyba (Guapuruvu)</t>
  </si>
  <si>
    <t>Hymenaea courbaril (Jatobá)</t>
  </si>
  <si>
    <t>Anadenanthera colubrina (Angico)</t>
  </si>
  <si>
    <t>Piptadenia gonoacantha (Pau-jacaré)</t>
  </si>
  <si>
    <t>Enterolobium contortisiliquum (Tamboril)</t>
  </si>
  <si>
    <t>Luehea divaricata (Açoita-cavalo)</t>
  </si>
  <si>
    <t>Malvaceae</t>
  </si>
  <si>
    <t>Ficus  guaranitica</t>
  </si>
  <si>
    <t>Moraceae</t>
  </si>
  <si>
    <t>Ceiba speciosa (Paineira-Rosa)</t>
  </si>
  <si>
    <t>Poecilanthe parviflora</t>
  </si>
  <si>
    <t>Especie</t>
  </si>
  <si>
    <t>Area</t>
  </si>
  <si>
    <t>no_arv</t>
  </si>
  <si>
    <t>Familia</t>
  </si>
  <si>
    <t xml:space="preserve">Densidade </t>
  </si>
  <si>
    <t>Equacao1</t>
  </si>
  <si>
    <t>Equacao2</t>
  </si>
  <si>
    <t>Equacao3</t>
  </si>
  <si>
    <t>Equacao4</t>
  </si>
  <si>
    <t>Equacao5</t>
  </si>
  <si>
    <t>Equacao6</t>
  </si>
  <si>
    <t>Equacao7</t>
  </si>
  <si>
    <t>Equacao8</t>
  </si>
  <si>
    <t>460b</t>
  </si>
  <si>
    <t>Densidade_literatura</t>
  </si>
  <si>
    <t>Media_literatura</t>
  </si>
  <si>
    <t>Desvio_literatura</t>
  </si>
  <si>
    <t>NA</t>
  </si>
  <si>
    <t>Db média</t>
  </si>
  <si>
    <t>Db média da literatura</t>
  </si>
  <si>
    <t>Desvio Literatura</t>
  </si>
  <si>
    <t>Densidade</t>
  </si>
  <si>
    <t>Amostragem</t>
  </si>
  <si>
    <t>sp</t>
  </si>
  <si>
    <t>Literatura</t>
  </si>
  <si>
    <t>Amostrada</t>
  </si>
  <si>
    <t>Myroxylon peruiferum (Cabreúva)</t>
  </si>
  <si>
    <t>Db média coletada</t>
  </si>
  <si>
    <t>Chave_local</t>
  </si>
  <si>
    <t>Nogueira_local</t>
  </si>
  <si>
    <t xml:space="preserve">Aloysia virgata </t>
  </si>
  <si>
    <t xml:space="preserve">Anadenanthera colubrina </t>
  </si>
  <si>
    <t xml:space="preserve">Aspidosperma polyneuron </t>
  </si>
  <si>
    <t>Cedrela fissilis</t>
  </si>
  <si>
    <t xml:space="preserve">Ceiba speciosa </t>
  </si>
  <si>
    <t>Centrolobium tomentosum</t>
  </si>
  <si>
    <t xml:space="preserve">Citharexylum myrianthum </t>
  </si>
  <si>
    <t>Copaifera langsdorffii</t>
  </si>
  <si>
    <t xml:space="preserve">Croton floribundus </t>
  </si>
  <si>
    <t xml:space="preserve">Dipteryx alata </t>
  </si>
  <si>
    <t xml:space="preserve">Enterolobium contortisiliquum </t>
  </si>
  <si>
    <t xml:space="preserve">Hymenaea courbaril </t>
  </si>
  <si>
    <t>Luehea divaricata </t>
  </si>
  <si>
    <t xml:space="preserve">Machaerium hirtum </t>
  </si>
  <si>
    <t xml:space="preserve">Mimosa caesalpiniifolia </t>
  </si>
  <si>
    <t xml:space="preserve">Moquiniastrum polymorphum </t>
  </si>
  <si>
    <t xml:space="preserve">Myroxylon peruiferum </t>
  </si>
  <si>
    <t xml:space="preserve">Parapiptadenia rigida </t>
  </si>
  <si>
    <t xml:space="preserve">Peltophorum dubium </t>
  </si>
  <si>
    <t>Piptadenia gonoacantha</t>
  </si>
  <si>
    <t>Psidium guajava</t>
  </si>
  <si>
    <t xml:space="preserve">Pterogyne nitens </t>
  </si>
  <si>
    <t xml:space="preserve">Schinus terebinthifolia </t>
  </si>
  <si>
    <t>Schizolobium parahyba</t>
  </si>
  <si>
    <t>Senegalia polyphylla</t>
  </si>
  <si>
    <t xml:space="preserve">Urera baccifera </t>
  </si>
  <si>
    <t>Zeyheria tuberculosa</t>
  </si>
  <si>
    <t>BiomassaEqC</t>
  </si>
  <si>
    <t>BiomassaEqN</t>
  </si>
  <si>
    <t>BiomassaEqC_lit</t>
  </si>
  <si>
    <t>BiomassaEqN_lit</t>
  </si>
  <si>
    <t>Equacao</t>
  </si>
  <si>
    <t>Biomassa</t>
  </si>
  <si>
    <t>Eq1</t>
  </si>
  <si>
    <t>Eq2</t>
  </si>
  <si>
    <t>Eq3</t>
  </si>
  <si>
    <t>Eq4</t>
  </si>
  <si>
    <t>Eq5</t>
  </si>
  <si>
    <t>Eq6</t>
  </si>
  <si>
    <t>Eq7</t>
  </si>
  <si>
    <t>Eq8</t>
  </si>
  <si>
    <t>No Arv</t>
  </si>
  <si>
    <t>Equacao 1</t>
  </si>
  <si>
    <t>Equacao 2</t>
  </si>
  <si>
    <t>Equacao 3</t>
  </si>
  <si>
    <t>Equacao 4</t>
  </si>
  <si>
    <t>Equacao 5</t>
  </si>
  <si>
    <t>Equacao 6</t>
  </si>
  <si>
    <t>Equacao 7</t>
  </si>
  <si>
    <t>Equacao 8</t>
  </si>
  <si>
    <t>Equacao 9</t>
  </si>
  <si>
    <t>Média</t>
  </si>
  <si>
    <t>Desvio Padrão</t>
  </si>
  <si>
    <t>Densidade média</t>
  </si>
  <si>
    <t>Desvio padrão</t>
  </si>
  <si>
    <t>19.2+19.6</t>
  </si>
  <si>
    <t>6.7+13</t>
  </si>
  <si>
    <t>16.2+14.1+11.9</t>
  </si>
  <si>
    <t>11.6+8.4</t>
  </si>
  <si>
    <t>8.4+10.4+11.3</t>
  </si>
  <si>
    <t>7.3+11.2</t>
  </si>
  <si>
    <t>5.7+6.5+4.7+6.7+10.1</t>
  </si>
  <si>
    <t>8.5+6.1+6.5+6+12.1</t>
  </si>
  <si>
    <t>8.9+9.1</t>
  </si>
  <si>
    <t>10+10.5</t>
  </si>
  <si>
    <t>12.2+9.0+8.4+11.8</t>
  </si>
  <si>
    <t>11.5+6.6+5.4</t>
  </si>
  <si>
    <t>13 + 23</t>
  </si>
  <si>
    <t>12.3 + 1.9</t>
  </si>
  <si>
    <t>12.7+16.1+17.1</t>
  </si>
  <si>
    <t>12.8 + 15.4 + 11.7 + 12.2 + 14 + 14.3</t>
  </si>
  <si>
    <t>17+22.3</t>
  </si>
  <si>
    <t>18.5+17+7+8.7+12.1+4.3</t>
  </si>
  <si>
    <t>17.8+14</t>
  </si>
  <si>
    <t>19.9+5.5</t>
  </si>
  <si>
    <t>29.5+16.4</t>
  </si>
  <si>
    <t>4.9 + 2 + 5.4 + 22</t>
  </si>
  <si>
    <t xml:space="preserve">Ficus sp. </t>
  </si>
  <si>
    <t>14.9+7.4</t>
  </si>
  <si>
    <t>15.1+16.6+15.4</t>
  </si>
  <si>
    <t>9.8+10.5</t>
  </si>
  <si>
    <t>Ano de publicação</t>
  </si>
  <si>
    <t>Coordenadas</t>
  </si>
  <si>
    <t>Idade do plantio</t>
  </si>
  <si>
    <t>Tamanho das áreas</t>
  </si>
  <si>
    <t>Tipo de restauração</t>
  </si>
  <si>
    <t>Avaliação da biomassa</t>
  </si>
  <si>
    <t>Utilizou a densidade da madeira nos cálculos para estimar a biomassa</t>
  </si>
  <si>
    <t>Dados de densidade da madeira da literatura ou da própria área</t>
  </si>
  <si>
    <t>Utilizou o fator de 0,5 para estimar o carbono</t>
  </si>
  <si>
    <t>Método</t>
  </si>
  <si>
    <t>Equações da literatura ou ajustadas</t>
  </si>
  <si>
    <t>Diâmetro de inclusão</t>
  </si>
  <si>
    <t>Artigo</t>
  </si>
  <si>
    <t>DOI</t>
  </si>
  <si>
    <t>Observações</t>
  </si>
  <si>
    <t>25°19′15″S e 45°42′24″W e  (25°21′16″S e 48°46′ 17″W</t>
  </si>
  <si>
    <t>áreas em restauração (7 a 11  anos) e florestas sucessionais tardias (20 a 60  anos).</t>
  </si>
  <si>
    <t>Plantio e condução da regeneração assistida</t>
  </si>
  <si>
    <t>Aérea</t>
  </si>
  <si>
    <t>sim</t>
  </si>
  <si>
    <t>Dados da área</t>
  </si>
  <si>
    <t>Não destrutivo</t>
  </si>
  <si>
    <t>Chave, 2005</t>
  </si>
  <si>
    <t>&gt;5 cm</t>
  </si>
  <si>
    <t>Shimamoto et al., 2014.-How much carbon is sequestered during the restoration of tropical forests? Estimates from tree species in the Brazilian Atlantic forest</t>
  </si>
  <si>
    <t>10.1016/j.foreco.2014.06.002</t>
  </si>
  <si>
    <t>1 a 28 anos</t>
  </si>
  <si>
    <t>Plantio de acordo com o grupo sucessional, plantio misto e plantio puro com uma espécie</t>
  </si>
  <si>
    <t>Áerea</t>
  </si>
  <si>
    <t>não</t>
  </si>
  <si>
    <t>-</t>
  </si>
  <si>
    <t>sim MacDicken (1997).</t>
  </si>
  <si>
    <t>Brown, 1997</t>
  </si>
  <si>
    <t>&gt;6m</t>
  </si>
  <si>
    <t>Melo e Durigan, 2006.-Fixação de carbono em reflorestamentos de matas ciliares no Vale do Paranapanema, SP, Brasil</t>
  </si>
  <si>
    <t>https://www.ipef.br/publicacoes/scientia/nr71/cap15.pdf</t>
  </si>
  <si>
    <t>22º 27’ 10”S, 42º 46’ 13”w</t>
  </si>
  <si>
    <t>3, 5 e 7 anos</t>
  </si>
  <si>
    <t>9,6 2,5 e 3,4 há</t>
  </si>
  <si>
    <t>Plantio de mudas, mas não seguiu um alinhamento, sabe que foram pioneiras, mas principalmente secundárias iniciais, tadrias e climax</t>
  </si>
  <si>
    <t>aérea</t>
  </si>
  <si>
    <t>não nem altura</t>
  </si>
  <si>
    <t>Brown 1997 (somente com DAP)</t>
  </si>
  <si>
    <t>Na mata de referencia &gt;10cm DAP nas áreas de restauração todos os ndivíduos que tem Dap</t>
  </si>
  <si>
    <t>Azevedo et al., 2018.-ESTOQUE DE CARBONO EM ÁREAS DE RESTAURAÇÃO FLORESTAL DA MATA ATLÂNTICA</t>
  </si>
  <si>
    <t>10.5380/rf.v48i2.54447</t>
  </si>
  <si>
    <t>22°43'22'S, 48°10'32'W</t>
  </si>
  <si>
    <t>6 anos</t>
  </si>
  <si>
    <t>2,54 há</t>
  </si>
  <si>
    <t>Plantio de mudas em 3 tratamentos. 1-diferentes proporções de espécies pioneiras, 2-dois tipos de espçamentos e silvicultura tradicional e intensiva.</t>
  </si>
  <si>
    <t>Aérea e radicular</t>
  </si>
  <si>
    <t>Sim</t>
  </si>
  <si>
    <t>não, calculou a% das árvores</t>
  </si>
  <si>
    <t>Destrutivo</t>
  </si>
  <si>
    <t>Ajustada</t>
  </si>
  <si>
    <t>todos</t>
  </si>
  <si>
    <t>Ferez et al., 2015.-Silvicultural opportunities for increasing carbon stock in restoration of Atlantic forests in Brazil</t>
  </si>
  <si>
    <t>https://doi.org/10.1016/j.foreco.2015.04.015</t>
  </si>
  <si>
    <t>Zanini et al., 2021.-Carbon content and allometric models to estimate aboveground biomass for forest areas under restoration</t>
  </si>
  <si>
    <t>10.1111/rec.13591</t>
  </si>
  <si>
    <t>22°40′ S, 48°10′ W</t>
  </si>
  <si>
    <t>12 anos</t>
  </si>
  <si>
    <t>Dados do artigo da equação</t>
  </si>
  <si>
    <t>não foi calculado</t>
  </si>
  <si>
    <t>Ferez et al., 2015</t>
  </si>
  <si>
    <t>Brancalion et al., 2019.- Intensive silviculture enhances biomass accumulation and tree diversity recovery in tropical forest restoration</t>
  </si>
  <si>
    <t>https://doi.org/10.1002/eap.1847</t>
  </si>
  <si>
    <t>22°30′ S, 52°30′ W</t>
  </si>
  <si>
    <t>Mata de referência sem idade</t>
  </si>
  <si>
    <t>Área de referência</t>
  </si>
  <si>
    <t>Global Wood Density Database (Chave et al., 2009)</t>
  </si>
  <si>
    <t>Chave , 2014</t>
  </si>
  <si>
    <t>&gt;5cm</t>
  </si>
  <si>
    <t>Badari et al., 2020.-Ecological outcomes of agroforests and restoration 15 years after planting</t>
  </si>
  <si>
    <t>10.1111/rec.13171</t>
  </si>
  <si>
    <t>12 a 15 anos</t>
  </si>
  <si>
    <t>20 há agrofloresta e 10 há de restauração</t>
  </si>
  <si>
    <t>SAF 20 espécies em consórcio com café e a área restaurada com 80 a 10 espécies</t>
  </si>
  <si>
    <t>10.1111/rec.13172</t>
  </si>
  <si>
    <t>53° 56′ 52,43″S, 25° 7′ 32,81″w</t>
  </si>
  <si>
    <t>2 há</t>
  </si>
  <si>
    <t>Regeneração passiva</t>
  </si>
  <si>
    <t>Não</t>
  </si>
  <si>
    <t>Brown, 1989</t>
  </si>
  <si>
    <t>&gt;1, 1-2cm e &gt;5cm</t>
  </si>
  <si>
    <t>Lisboa et al., 2020.-Applicability of monitoring protocols developed for active restoration projects in the evaluation of passive restoration of a subtropical riparian forest in Brazil</t>
  </si>
  <si>
    <t>10.1007/s42965-020-00120-7</t>
  </si>
  <si>
    <t>56° 08′S, 75° 04′ w</t>
  </si>
  <si>
    <t>5 na 35 anos</t>
  </si>
  <si>
    <t>Análise das árvores derrubadas</t>
  </si>
  <si>
    <t>Miranda et al., 2011.-ALLOMETRIC EQUATIONS FOR BIOMASS AND CARBON STOCK ESTIMATION IN TREES OF FOREST RESTORATION AREAS</t>
  </si>
  <si>
    <t>10.1590/S0100-67622011000400012</t>
  </si>
  <si>
    <t>22°58'04'S, 48°43'40'W</t>
  </si>
  <si>
    <t>2,5 anos</t>
  </si>
  <si>
    <t>Ferez et al., 2010</t>
  </si>
  <si>
    <t>Campoe et al., 2014.-Atlantic forest tree species responses to silvicultural practices in a degraded pasture restoration plantation: From leaf physiology to survival and initial growth</t>
  </si>
  <si>
    <t>10.1016/j.foreco.2013.11.016</t>
  </si>
  <si>
    <t>7 anos</t>
  </si>
  <si>
    <t>32 locais com 800 m²</t>
  </si>
  <si>
    <t>mesmo conjutos de espécies em espaçamento de 3x2</t>
  </si>
  <si>
    <t>literatura</t>
  </si>
  <si>
    <t>&gt;5</t>
  </si>
  <si>
    <t>Toledo et al., 2018.-Soil properties and neighbouring forest cover affect above-ground biomass and functional composition during tropical forest restoration</t>
  </si>
  <si>
    <t>10.1111/avsc.12363</t>
  </si>
  <si>
    <t>22°32'17''S, 42°16'50''W</t>
  </si>
  <si>
    <t>Abandonada a 20 ano e outra área queimada 15 anos antes da avaliação.</t>
  </si>
  <si>
    <t>1,62 há</t>
  </si>
  <si>
    <t>Restauração passiva 36 anos e outra área restuaração passiva, mas queimada 15 anos da coleta</t>
  </si>
  <si>
    <t>Sansevero et al., 2017.-Past land-use and ecological resilience in a lowland Brazilian Atlantic Forest: implications for passive restoration</t>
  </si>
  <si>
    <t>10.1007/s11056-017-9586-4</t>
  </si>
  <si>
    <t>22°20'0"S, 47°40'0''W</t>
  </si>
  <si>
    <t>Pantio de florestas jovens de 7 a 20 anos e florestas secundárias em áreao</t>
  </si>
  <si>
    <t>2,88 há</t>
  </si>
  <si>
    <t>Palntio de mudas, floresta de referencia e floresta secundária que antes era pastagem e outra palntio de eucalipto.</t>
  </si>
  <si>
    <t>Cesar et al., 2018.-Early ecological outcomes of natural regeneration and tree plantations for restoring agricultural landscapes</t>
  </si>
  <si>
    <t>10.1002/eap.1653</t>
  </si>
  <si>
    <t>26°0' a 28° 0' S, 54° 0' a 50° 0' W</t>
  </si>
  <si>
    <t>2 a 60 anos</t>
  </si>
  <si>
    <t>1,59 há</t>
  </si>
  <si>
    <t>Apenas regeneração natural</t>
  </si>
  <si>
    <t>Todos que tinham DAP</t>
  </si>
  <si>
    <t>Siminski et al., 2021.-Dynamics of Natural Regeneration: Implications for Landscape Restoration in the Atlantic Forest, Brazil</t>
  </si>
  <si>
    <t>10.3389/ffgc.2021.576908</t>
  </si>
  <si>
    <t>Capoava (23° 12' S 47° 10' W), Ingazinho (23° 13' S 47° 11' W) e Fazendas Jequitiba (23° 13' S 47° 10' W )) no município de Itu, SP, Brasil</t>
  </si>
  <si>
    <t>5 anos</t>
  </si>
  <si>
    <t>0,45ha</t>
  </si>
  <si>
    <t>Restauração ativa com plantio de mudas, passiva assistida, passiva em pastagem, remanescente nativo e pastagem utilizada para o gado</t>
  </si>
  <si>
    <t>Aérea e estimou as raízes com uma equaçõa da literatura</t>
  </si>
  <si>
    <t>Chave et al., 2006.</t>
  </si>
  <si>
    <t>dados de Zanini et al., 2019. da mesma área</t>
  </si>
  <si>
    <t>Zanini et al., 2019. Da mesma área</t>
  </si>
  <si>
    <t>Zanini et al., 2021.-The effect of ecological restoration methods on carbon stocks in the Brazilian Atlantic Forest</t>
  </si>
  <si>
    <t>10.1016/j.foreco.2020.118734</t>
  </si>
  <si>
    <t>21° 1' 58” S and 42° 35' 8” W</t>
  </si>
  <si>
    <t>4,5 anos</t>
  </si>
  <si>
    <t>0,21 há</t>
  </si>
  <si>
    <t>Um plantio misto de espécies nativas com espçamento de 3x2, um plantio puro de eucalipto e um plantio puro de Anadenathera peregrina</t>
  </si>
  <si>
    <t>A estimativa da biomassa foi realizada ultiplicando o volume da arvore pela densidade da madeira.</t>
  </si>
  <si>
    <t>Valente et al., 2019.-Growth, Biomass and Carbon Stocks in Forest Cover Planted in an Area of Bauxite Mining in Rehabilitation</t>
  </si>
  <si>
    <t>10.1590/18069657rbcs20180212</t>
  </si>
  <si>
    <t>Seropedica, Estado do Rio de Janeiro</t>
  </si>
  <si>
    <t>2 a 6 anos</t>
  </si>
  <si>
    <t>Plantio com diferentes espaçamentos</t>
  </si>
  <si>
    <t>Sanquetta et al., 2015. Comparison of data mining and allometric model in estimation of tree biomass</t>
  </si>
  <si>
    <t>10.1186/s12859-015-0662-5</t>
  </si>
  <si>
    <t>Não usou alometria, usou outro método</t>
  </si>
  <si>
    <t>22°43'22"S, 48°10'32"W</t>
  </si>
  <si>
    <t>3 anos</t>
  </si>
  <si>
    <t>1,5 há</t>
  </si>
  <si>
    <t>Plantio com diferentes epaçamento, misturando grupo sucessionais e intensidade de manejo</t>
  </si>
  <si>
    <t>Campoe, 2008</t>
  </si>
  <si>
    <t>Campoe et al., 2010.-Can intensive management accelerate the restoration of Brazil's Atlantic forests?</t>
  </si>
  <si>
    <t>10.1016/j.foreco.2009.06.026</t>
  </si>
  <si>
    <t>Município de Anhambi</t>
  </si>
  <si>
    <t>13,5 anos</t>
  </si>
  <si>
    <t>2,59 há</t>
  </si>
  <si>
    <t>Palntio com 20, 60 e 120 espécies</t>
  </si>
  <si>
    <t>Almeida et al., 2021.-Monitoring restored tropical forest diversity and structure through UAV-borne hyperspectral and lidar fusion</t>
  </si>
  <si>
    <t>10.1016/j.rse.2021.112582</t>
  </si>
  <si>
    <t>25º19'15" S e 45º42'24''W</t>
  </si>
  <si>
    <t>Pastagem abandonadas há oito, 14, 48, 50 e 96 meses</t>
  </si>
  <si>
    <t>0,6 há</t>
  </si>
  <si>
    <t>Utilizou-se a fórmula (Tilki &amp; Fisher 1998): Volume = d2. h . 0,4, onde: h = altura; d = diâmetro; 0,4 = fator de correção</t>
  </si>
  <si>
    <t>Cheung et al., 2009.-Relationship between herbaceous vegetation and regeneration of woody species in abandoned pastures in the Atlantic Rain Forest in Southern Brazil</t>
  </si>
  <si>
    <t>10.1590/S0102-33062009000400015</t>
  </si>
  <si>
    <t>22°28′00,60 ″S, 44°34′51.65″W</t>
  </si>
  <si>
    <t>30 anos de abandono</t>
  </si>
  <si>
    <t>Pastagem abandonada há 30 anos</t>
  </si>
  <si>
    <t>literatura Global Wood Density Database (Zanne et al. 2009 )</t>
  </si>
  <si>
    <t>&gt;3</t>
  </si>
  <si>
    <t>Robinson et al., 2015.-Factors influencing early secondary succession and ecosystem carbon stocks in Brazilian Atlantic Forest</t>
  </si>
  <si>
    <t>10.1007/s10531-015-0982-9</t>
  </si>
  <si>
    <t>14°30'16'' S, 39°6'36'' W</t>
  </si>
  <si>
    <t>7,5ha</t>
  </si>
  <si>
    <t>Florestas secundárias</t>
  </si>
  <si>
    <t>Becknell et a., 2018.-Landscape-scale lidar analysis of aboveground biomass distribution in secondary Brazilian Atlantic Forest</t>
  </si>
  <si>
    <t>10.1111/btp.12538</t>
  </si>
  <si>
    <t>10 a 61 anos</t>
  </si>
  <si>
    <t>2,7 há</t>
  </si>
  <si>
    <t>Floresta secundária 11 a 47 anos e plantações de restauração de 10 a 61 anos</t>
  </si>
  <si>
    <t> 0,46, o teor médio de carbono da biomassa lenhosa seca das árvores da Mata Atlântica (Ferez, Campoe, Mendes, &amp; Stape, 2015 )</t>
  </si>
  <si>
    <t>Brancalion et al., 2020.-The cost of restoring carbon stocks in Brazil's Atlantic Forest</t>
  </si>
  <si>
    <t>10.1002/ldr.3764</t>
  </si>
  <si>
    <t>20° a 25° em latitude e 47° a 54° em longitude</t>
  </si>
  <si>
    <t>24 a 49 anos povoamentos puros</t>
  </si>
  <si>
    <t>plantios puros e mistos</t>
  </si>
  <si>
    <t>literatura Global Wood Density (GWD)</t>
  </si>
  <si>
    <t>Chave et al., 2005</t>
  </si>
  <si>
    <t>Guerin et al., 2021.-Pure or mixed plantings equally enhance the recovery of the Atlantic forest</t>
  </si>
  <si>
    <t>10.1016/j.foreco.2021.118932</t>
  </si>
  <si>
    <t>24 a 53 anos povoamento mistos</t>
  </si>
  <si>
    <t>radicular</t>
  </si>
  <si>
    <t> Cairns et al. (1997) Abaixo do solo</t>
  </si>
  <si>
    <t>Norte do ES e sul da BA</t>
  </si>
  <si>
    <t>7 a 33 anos</t>
  </si>
  <si>
    <t>0,16 há</t>
  </si>
  <si>
    <t>Florestas secundárias sem métodos de restauração</t>
  </si>
  <si>
    <t>&gt;4,8</t>
  </si>
  <si>
    <t>Safar et al., 2020.-Resilience of lowland Atlantic forests in a highly fragmented landscape: Insights on the temporal scale of landscape restoration</t>
  </si>
  <si>
    <t>10.1016/j.foreco.2020.118183</t>
  </si>
  <si>
    <t>11 a 46 anos</t>
  </si>
  <si>
    <t>3,96 há</t>
  </si>
  <si>
    <t>Florestas secundárias pastagem e eucalipto abandonados</t>
  </si>
  <si>
    <t>Cesar et al., 2021.-It is not just about time: Agricultural practices and surrounding forest cover affect secondary forest recovery in agricultural landscapes</t>
  </si>
  <si>
    <t>10.1111/btp.12893</t>
  </si>
  <si>
    <t>25°19'S, 45°42'W,e 25°21'S, 48°46'W, </t>
  </si>
  <si>
    <t>7 a 80 anos</t>
  </si>
  <si>
    <t>2,2ha</t>
  </si>
  <si>
    <t>Capellesso et al., 2021.-Co-benefits in biodiversity conservation and carbon stock during forest regeneration in a preserved tropical landscape</t>
  </si>
  <si>
    <t>10.1016/j.foreco.2021.119222</t>
  </si>
  <si>
    <t>19°51′57,14″S e 40°7′15,28″W) e (18°1′52,25″S e 39°54′41,10″W</t>
  </si>
  <si>
    <t>5 a 30 anos</t>
  </si>
  <si>
    <t>3,9 há</t>
  </si>
  <si>
    <t>Matos et al., 2020.-Secondary forest fragments offer important carbon and biodiversity cobenefits</t>
  </si>
  <si>
    <t>10.1111/gcb.14824</t>
  </si>
  <si>
    <t>(20° 45′ 37,62″ S e 42° 52′ 29,59″ W</t>
  </si>
  <si>
    <t>3,3 anos</t>
  </si>
  <si>
    <t>0,20 há</t>
  </si>
  <si>
    <t>Plantio de 15 espécies e 509 mudas</t>
  </si>
  <si>
    <t>0,48</t>
  </si>
  <si>
    <t>Euação de volume de schumacher e Hall</t>
  </si>
  <si>
    <t>base</t>
  </si>
  <si>
    <t>Morais et al., 2020.-Growth and survival of potential tree species for carbon-offset in degraded areas from southeast Brazil</t>
  </si>
  <si>
    <t>10.1016/j.ecolind.2020.106514</t>
  </si>
  <si>
    <t>18°34'44,83"S; 42°53'15,11"O</t>
  </si>
  <si>
    <t>0,8ha</t>
  </si>
  <si>
    <t>Euação de volume de CETEC 1997</t>
  </si>
  <si>
    <t>todos com DAP</t>
  </si>
  <si>
    <t>Gaspar et al., 2014.-PHYTOSOCIOLOGICAL AND CARBON STOCK ANALYSIS IN THE TREE LAYER OF A SEMIDECIDUOUS FOREST FRAGMENT</t>
  </si>
  <si>
    <t>10.5902/1980509814569 </t>
  </si>
  <si>
    <t>Esse artigo utilizou para calcular o valor de importancia a quantidade de carbono das espécies, além do cálculo dos parâmetros fitossociológicos</t>
  </si>
  <si>
    <t>N–S 22 °50′–23  °26′ e EW 45  °53′–46  °46′;</t>
  </si>
  <si>
    <t>&gt; 70 anos</t>
  </si>
  <si>
    <t>borda, interior, transectos</t>
  </si>
  <si>
    <t>Scatena et al., 1993</t>
  </si>
  <si>
    <t>&gt; 10</t>
  </si>
  <si>
    <t>D'Albertas et al., 2018.-Lack of evidence of edge age and additive edge effects on carbon stocks in a tropical forest</t>
  </si>
  <si>
    <t>10.1016/j.foreco.2017.09.042</t>
  </si>
  <si>
    <t>20°45′34,92′S e 42°52′32,23″W</t>
  </si>
  <si>
    <t>0,2 há</t>
  </si>
  <si>
    <t>25 espécies arbóreas e 50 mudas, espaçamento de 2x2</t>
  </si>
  <si>
    <t>Equação de volume de Smalian</t>
  </si>
  <si>
    <t>DAS diâmetro a altura do solo</t>
  </si>
  <si>
    <t>Morais et al., 2019.-Early assessment of tree species with potential for carbon offset plantations in degraded area from the southeastern Brazil</t>
  </si>
  <si>
    <t>10.1016/j.ecolind.2018.12.004</t>
  </si>
  <si>
    <r>
      <t>20 </t>
    </r>
    <r>
      <rPr>
        <sz val="8"/>
        <color rgb="FF333333"/>
        <rFont val="Georgia"/>
        <family val="1"/>
      </rPr>
      <t>o</t>
    </r>
    <r>
      <rPr>
        <sz val="11"/>
        <color rgb="FF333333"/>
        <rFont val="Georgia"/>
        <family val="1"/>
      </rPr>
      <t> 45'14" S, 42 </t>
    </r>
    <r>
      <rPr>
        <sz val="8"/>
        <color rgb="FF333333"/>
        <rFont val="Georgia"/>
        <family val="1"/>
      </rPr>
      <t>o</t>
    </r>
    <r>
      <rPr>
        <sz val="11"/>
        <color rgb="FF333333"/>
        <rFont val="Georgia"/>
        <family val="1"/>
      </rPr>
      <t> 45'53" W</t>
    </r>
  </si>
  <si>
    <t>57 e 87 anos</t>
  </si>
  <si>
    <t>Rodrigues et al., 2021.-Effects of topographic variability and forest attributes on fine-scale soil fertility in late-secondary succession of Atlantic Forest</t>
  </si>
  <si>
    <t>10.1186/s13717-021-00333-1</t>
  </si>
  <si>
    <t>Capellesso et al., 2020.-Temporal and environmental correlates of carbon stocks in a regenerating tropical forest</t>
  </si>
  <si>
    <t>10.1111/avsc.12487</t>
  </si>
  <si>
    <t>Município de Divino, MG</t>
  </si>
  <si>
    <t>5 a 80 anos</t>
  </si>
  <si>
    <t>1,08ha</t>
  </si>
  <si>
    <t>Amaro, 2010</t>
  </si>
  <si>
    <t>Teixeira et al., 2020.-Linking vegetation and soil functions during secondary forest succession in the Atlantic forest</t>
  </si>
  <si>
    <t>10.1016/j.foreco.2019.117696</t>
  </si>
  <si>
    <t>AGB = 0,024530*DBH2,443356*Height0,423602; R2 = 95.0) (Amaro, 2010)</t>
  </si>
  <si>
    <t>BFcc = ⋅( ) DAP ⋅ Ht 2 0,024393</t>
  </si>
  <si>
    <t>19°48'29"S; 42°37'40"W</t>
  </si>
  <si>
    <t>3 a 32 anos</t>
  </si>
  <si>
    <t>4,9ha</t>
  </si>
  <si>
    <t>Chave, 2014</t>
  </si>
  <si>
    <t>&gt; 4,8</t>
  </si>
  <si>
    <t>Coelho et al., 2022.-Atlantic Forest recovery after long-term eucalyptus plantations: The role of zoochoric and shade-tolerant tree species on carbon stock</t>
  </si>
  <si>
    <t>10.1016/j.foreco.2021.119789</t>
  </si>
  <si>
    <t>43°11′59,55″W, 20°16′32,91″S</t>
  </si>
  <si>
    <t>0,5 há</t>
  </si>
  <si>
    <t>Platio de mudas, semeadura e regeneração natural, ambas com e sem adubação</t>
  </si>
  <si>
    <t>Campanharo et al., 2021.-Functional composition enhances aboveground biomass stock undergoing active forest restoration on mining tailings in Mariana, Brazil</t>
  </si>
  <si>
    <t>10.1111/rec.13399</t>
  </si>
  <si>
    <t>23°12′S, 47°10′W], [23°13′S, 47°11′W] [23°13′S , 47°10'W</t>
  </si>
  <si>
    <t>2,43 há</t>
  </si>
  <si>
    <t>Plantio de pioneiras e 1,5 anos depois foi realiado o plantio de enriquecimento</t>
  </si>
  <si>
    <t>22°52’32’’S and 48°26’46’’W)</t>
  </si>
  <si>
    <t>10 anos</t>
  </si>
  <si>
    <t>7,5 há</t>
  </si>
  <si>
    <t>Plantio, semeadura, regeneração natural, SAF e consórcio</t>
  </si>
  <si>
    <t>dados da área</t>
  </si>
  <si>
    <t>todas os DAPs</t>
  </si>
  <si>
    <t>Nogueira et al., 2014.-Allometric equations for estimating tree biomass in restored mixed-species Atlantic Forest stands</t>
  </si>
  <si>
    <t>10.1590/1676-06032013008413  </t>
  </si>
  <si>
    <t>2 a 12 anos</t>
  </si>
  <si>
    <t>diametro a 0,30</t>
  </si>
  <si>
    <t>10.1002/eap.1847</t>
  </si>
  <si>
    <t>20 anos</t>
  </si>
  <si>
    <t>2,16</t>
  </si>
  <si>
    <t>Plantio, semeadura, saf e consórcio</t>
  </si>
  <si>
    <t>Nogueira et al., 2014</t>
  </si>
  <si>
    <t>Pontes et al., 2019.-Forest Structure, Wood Standing Stock, and Tree Biomass in Different Restoration Systems in the Brazilian Atlantic Forest</t>
  </si>
  <si>
    <t>10.3390/f10070588</t>
  </si>
  <si>
    <t>Aracruz-Espírito Santo, Sítio 2: Mucuri-Bahia e Sítio 3: Igrapiúna-Bahia</t>
  </si>
  <si>
    <t>4 a 5 anos</t>
  </si>
  <si>
    <t>5,8 há</t>
  </si>
  <si>
    <t>Plantio puro e plantio de nativas com eucalipto</t>
  </si>
  <si>
    <t>Ferez, Campoe, Mendes, &amp; Stape, 2015</t>
  </si>
  <si>
    <t>Brancalion et al., 2019.- Exotic eucalypts: From demonized trees to allies of tropical forest restoration?</t>
  </si>
  <si>
    <t>10.1111/1365-2664.13513</t>
  </si>
  <si>
    <t>22° 43’ 34” S and 43° 38’ 34” W</t>
  </si>
  <si>
    <t>Araujo et al., 2018.-Allometric models to biomass in restoration areas in the Atlantic rain forest</t>
  </si>
  <si>
    <t>10.1590/2179-8087.019316 </t>
  </si>
  <si>
    <t>Paraná e São paulo</t>
  </si>
  <si>
    <t>13 a 14 anos</t>
  </si>
  <si>
    <t>1,6ha</t>
  </si>
  <si>
    <t>Plantio de mudas em 3x2, em sua maioria de rápidp crescimento, as também espécies tardias</t>
  </si>
  <si>
    <t>dados da área e da literatura</t>
  </si>
  <si>
    <t>Arcanjo &amp; Torezan, 2022. Aboveground biomass accumulation and tree size distribution in seasonal Atlantic Forest restoration sites</t>
  </si>
  <si>
    <t>10.1111/rec.13669</t>
  </si>
  <si>
    <t xml:space="preserve">Cedrela fissilis </t>
  </si>
  <si>
    <t xml:space="preserve">Centrolobium tomentosum </t>
  </si>
  <si>
    <t xml:space="preserve">Copaifera langsdorffii </t>
  </si>
  <si>
    <t xml:space="preserve">Dipteryx alata Vogel </t>
  </si>
  <si>
    <t xml:space="preserve">Piptadenia gonoacantha </t>
  </si>
  <si>
    <t xml:space="preserve">Psidium guajava </t>
  </si>
  <si>
    <t xml:space="preserve">Schizolobium parahyba </t>
  </si>
  <si>
    <t xml:space="preserve">Senegalia polyphylla </t>
  </si>
  <si>
    <t xml:space="preserve">Zeyheria tuberculosa </t>
  </si>
  <si>
    <t xml:space="preserve">Species	</t>
  </si>
  <si>
    <t>Wood_density</t>
  </si>
  <si>
    <t xml:space="preserve">Source	</t>
  </si>
  <si>
    <t>Species</t>
  </si>
  <si>
    <t>Treatment</t>
  </si>
  <si>
    <t>Site</t>
  </si>
  <si>
    <t>Block</t>
  </si>
  <si>
    <t>Plot</t>
  </si>
  <si>
    <t>Tree_ID</t>
  </si>
  <si>
    <t>Family</t>
  </si>
  <si>
    <t>DBH</t>
  </si>
  <si>
    <t>Height</t>
  </si>
  <si>
    <t>Sampled_density</t>
  </si>
  <si>
    <t>Literature_density</t>
  </si>
  <si>
    <t>Chave_literature</t>
  </si>
  <si>
    <t>Nogueira_literature</t>
  </si>
  <si>
    <t>Mean_sampled_density</t>
  </si>
  <si>
    <t>Mean_literature_density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</si>
</sst>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2E2E2E"/>
      <name val="Georgia"/>
      <family val="1"/>
    </font>
    <font>
      <sz val="8"/>
      <color theme="1"/>
      <name val="Source Sans Pro"/>
      <family val="2"/>
    </font>
    <font>
      <sz val="10"/>
      <color rgb="FF1C1D1E"/>
      <name val="Open Sans"/>
      <family val="2"/>
    </font>
    <font>
      <sz val="11"/>
      <color rgb="FF333333"/>
      <name val="Georgia"/>
      <family val="1"/>
    </font>
    <font>
      <sz val="8"/>
      <color rgb="FF403D39"/>
      <name val="Arial"/>
      <family val="2"/>
    </font>
    <font>
      <sz val="8"/>
      <color theme="1"/>
      <name val="Verdana"/>
      <family val="2"/>
    </font>
    <font>
      <sz val="8"/>
      <color rgb="FF333333"/>
      <name val="Georgia"/>
      <family val="1"/>
    </font>
    <font>
      <u/>
      <sz val="11"/>
      <color theme="10"/>
      <name val="Calibri"/>
      <family val="2"/>
      <scheme val="minor"/>
    </font>
    <font>
      <sz val="11"/>
      <color rgb="FF403D39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1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165" fontId="2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2" xfId="0" applyBorder="1" applyAlignment="1">
      <alignment vertical="distributed" wrapText="1"/>
    </xf>
    <xf numFmtId="0" fontId="0" fillId="0" borderId="0" xfId="0" applyAlignment="1">
      <alignment vertical="distributed"/>
    </xf>
    <xf numFmtId="0" fontId="5" fillId="0" borderId="2" xfId="0" applyFont="1" applyBorder="1" applyAlignment="1">
      <alignment vertical="distributed" wrapText="1"/>
    </xf>
    <xf numFmtId="0" fontId="5" fillId="0" borderId="2" xfId="0" applyFont="1" applyBorder="1" applyAlignment="1">
      <alignment vertical="distributed"/>
    </xf>
    <xf numFmtId="0" fontId="6" fillId="0" borderId="2" xfId="0" applyFont="1" applyBorder="1" applyAlignment="1">
      <alignment vertical="distributed" wrapText="1"/>
    </xf>
    <xf numFmtId="0" fontId="0" fillId="0" borderId="2" xfId="0" applyBorder="1" applyAlignment="1">
      <alignment vertical="distributed"/>
    </xf>
    <xf numFmtId="0" fontId="12" fillId="0" borderId="2" xfId="1" applyBorder="1" applyAlignment="1">
      <alignment vertical="distributed" wrapText="1"/>
    </xf>
    <xf numFmtId="0" fontId="6" fillId="0" borderId="2" xfId="0" applyFont="1" applyBorder="1" applyAlignment="1">
      <alignment vertical="distributed"/>
    </xf>
    <xf numFmtId="0" fontId="7" fillId="0" borderId="2" xfId="0" applyFont="1" applyBorder="1" applyAlignment="1">
      <alignment vertical="distributed" wrapText="1"/>
    </xf>
    <xf numFmtId="0" fontId="8" fillId="0" borderId="2" xfId="0" applyFont="1" applyBorder="1" applyAlignment="1">
      <alignment vertical="distributed" wrapText="1"/>
    </xf>
    <xf numFmtId="0" fontId="0" fillId="7" borderId="2" xfId="0" applyFill="1" applyBorder="1" applyAlignment="1">
      <alignment vertical="distributed" wrapText="1"/>
    </xf>
    <xf numFmtId="0" fontId="6" fillId="7" borderId="2" xfId="0" applyFont="1" applyFill="1" applyBorder="1" applyAlignment="1">
      <alignment vertical="distributed" wrapText="1"/>
    </xf>
    <xf numFmtId="0" fontId="9" fillId="0" borderId="2" xfId="0" applyFont="1" applyBorder="1" applyAlignment="1">
      <alignment vertical="distributed" wrapText="1"/>
    </xf>
    <xf numFmtId="0" fontId="7" fillId="7" borderId="2" xfId="0" applyFont="1" applyFill="1" applyBorder="1" applyAlignment="1">
      <alignment vertical="distributed" wrapText="1"/>
    </xf>
    <xf numFmtId="0" fontId="5" fillId="7" borderId="2" xfId="0" applyFont="1" applyFill="1" applyBorder="1" applyAlignment="1">
      <alignment vertical="distributed" wrapText="1"/>
    </xf>
    <xf numFmtId="0" fontId="10" fillId="7" borderId="2" xfId="0" applyFont="1" applyFill="1" applyBorder="1" applyAlignment="1">
      <alignment vertical="distributed" wrapText="1"/>
    </xf>
    <xf numFmtId="0" fontId="0" fillId="7" borderId="2" xfId="0" applyFill="1" applyBorder="1" applyAlignment="1">
      <alignment vertical="distributed"/>
    </xf>
    <xf numFmtId="0" fontId="8" fillId="7" borderId="2" xfId="0" applyFont="1" applyFill="1" applyBorder="1" applyAlignment="1">
      <alignment vertical="distributed" wrapText="1"/>
    </xf>
    <xf numFmtId="0" fontId="1" fillId="0" borderId="2" xfId="0" applyFont="1" applyBorder="1" applyAlignment="1">
      <alignment vertical="distributed" wrapText="1"/>
    </xf>
    <xf numFmtId="0" fontId="13" fillId="0" borderId="2" xfId="0" applyFont="1" applyBorder="1" applyAlignment="1">
      <alignment vertical="distributed" wrapText="1"/>
    </xf>
    <xf numFmtId="164" fontId="0" fillId="0" borderId="1" xfId="0" applyNumberFormat="1" applyBorder="1"/>
    <xf numFmtId="164" fontId="2" fillId="0" borderId="1" xfId="0" applyNumberFormat="1" applyFont="1" applyBorder="1" applyAlignment="1">
      <alignment horizontal="right" vertical="center"/>
    </xf>
    <xf numFmtId="0" fontId="1" fillId="8" borderId="0" xfId="0" applyFont="1" applyFill="1" applyAlignment="1">
      <alignment horizontal="center" vertical="center"/>
    </xf>
    <xf numFmtId="164" fontId="0" fillId="8" borderId="0" xfId="0" applyNumberFormat="1" applyFill="1"/>
    <xf numFmtId="0" fontId="0" fillId="8" borderId="0" xfId="0" applyFill="1"/>
    <xf numFmtId="0" fontId="1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1" fillId="9" borderId="0" xfId="0" applyFont="1" applyFill="1"/>
    <xf numFmtId="0" fontId="0" fillId="9" borderId="0" xfId="0" applyFill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2" fontId="0" fillId="2" borderId="1" xfId="0" applyNumberFormat="1" applyFill="1" applyBorder="1"/>
    <xf numFmtId="2" fontId="0" fillId="4" borderId="1" xfId="0" applyNumberFormat="1" applyFill="1" applyBorder="1"/>
    <xf numFmtId="2" fontId="2" fillId="2" borderId="1" xfId="0" applyNumberFormat="1" applyFont="1" applyFill="1" applyBorder="1" applyAlignment="1">
      <alignment horizontal="right" vertical="center"/>
    </xf>
    <xf numFmtId="0" fontId="0" fillId="10" borderId="0" xfId="0" applyFill="1"/>
    <xf numFmtId="0" fontId="1" fillId="10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4" borderId="0" xfId="0" applyNumberFormat="1" applyFill="1"/>
    <xf numFmtId="2" fontId="0" fillId="2" borderId="0" xfId="0" applyNumberFormat="1" applyFill="1"/>
    <xf numFmtId="0" fontId="0" fillId="11" borderId="1" xfId="0" applyFill="1" applyBorder="1"/>
    <xf numFmtId="0" fontId="1" fillId="9" borderId="1" xfId="0" applyFont="1" applyFill="1" applyBorder="1" applyAlignment="1">
      <alignment horizontal="center" vertical="center"/>
    </xf>
    <xf numFmtId="2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4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/>
    <xf numFmtId="2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165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2" fontId="0" fillId="0" borderId="0" xfId="0" applyNumberFormat="1"/>
    <xf numFmtId="0" fontId="1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i.org/10.1002/eap.1847" TargetMode="External"/><Relationship Id="rId1" Type="http://schemas.openxmlformats.org/officeDocument/2006/relationships/hyperlink" Target="https://doi.org/10.1016/j.foreco.2015.04.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809D-DF5A-446B-87C0-7ED045B6C895}">
  <dimension ref="A1:V180"/>
  <sheetViews>
    <sheetView topLeftCell="C1" zoomScale="70" zoomScaleNormal="70" workbookViewId="0">
      <selection activeCell="X24" sqref="X24"/>
    </sheetView>
  </sheetViews>
  <sheetFormatPr defaultRowHeight="14.4" x14ac:dyDescent="0.3"/>
  <cols>
    <col min="1" max="1" width="42.44140625" bestFit="1" customWidth="1"/>
    <col min="2" max="2" width="11.44140625" style="2" bestFit="1" customWidth="1"/>
    <col min="3" max="3" width="5.3320312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32.5546875" style="1" bestFit="1" customWidth="1"/>
    <col min="9" max="9" width="6.44140625" customWidth="1"/>
    <col min="10" max="10" width="28.5546875" bestFit="1" customWidth="1"/>
    <col min="11" max="11" width="13.109375" bestFit="1" customWidth="1"/>
    <col min="12" max="17" width="13.5546875" bestFit="1" customWidth="1"/>
    <col min="18" max="18" width="13.5546875" customWidth="1"/>
    <col min="19" max="19" width="13.5546875" bestFit="1" customWidth="1"/>
    <col min="20" max="20" width="2.6640625" style="56" customWidth="1"/>
    <col min="21" max="21" width="7" customWidth="1"/>
    <col min="22" max="22" width="92.5546875" bestFit="1" customWidth="1"/>
  </cols>
  <sheetData>
    <row r="1" spans="1:22" s="2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54"/>
    </row>
    <row r="2" spans="1:22" ht="15.6" x14ac:dyDescent="0.3">
      <c r="A2" s="25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22">
        <v>0.55428571428571427</v>
      </c>
      <c r="K2" s="53">
        <f>(0.02453 *(H2^2.443356)*(I2^0.423602))</f>
        <v>44.689068723234925</v>
      </c>
      <c r="L2" s="53">
        <f>0.024393*((H2^2)*I2)</f>
        <v>68.766111156000008</v>
      </c>
      <c r="M2" s="53">
        <f>(0.01579*(H2^2.356307)*(I2^0.623614))</f>
        <v>39.807675822013842</v>
      </c>
      <c r="N2" s="52">
        <f t="shared" ref="N2:N33" si="0">10^(-0.717903255+0.940214879*LOG10(H2)+1.345432588*LOG10(I2)*1.109844005)</f>
        <v>134.14023866060629</v>
      </c>
      <c r="O2" s="52">
        <f>((0.0559)*((J2*H2^2*I2)))</f>
        <v>87.348357437714284</v>
      </c>
      <c r="P2" s="52">
        <f>((0.0673)*((J2*H2^2*I2)^0.976))</f>
        <v>88.146641243302142</v>
      </c>
      <c r="Q2" s="52">
        <f>EXP((-1.305)+(1.055*LN((H2^2))+(0.34*LN(I2))+(1.077*LN(J2))))</f>
        <v>87.507219962090758</v>
      </c>
      <c r="R2" s="52">
        <f>EXP(-0.97+(1.1421*LN(H2^2*J2)))</f>
        <v>72.54130685663398</v>
      </c>
      <c r="S2" s="52">
        <f>EXP(-1.027+(1.144 *LN(H2^2))+(1.085*LN(J2)))</f>
        <v>71.572534176527085</v>
      </c>
      <c r="T2" s="55"/>
      <c r="V2" s="57" t="s">
        <v>22</v>
      </c>
    </row>
    <row r="3" spans="1:22" x14ac:dyDescent="0.3">
      <c r="A3" s="25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22">
        <v>0.56082474226804124</v>
      </c>
      <c r="K3" s="53">
        <f t="shared" ref="K3:K7" si="1">(0.02453 *(H3^2.443356)*(I3^0.423602))</f>
        <v>397.68946981350473</v>
      </c>
      <c r="L3" s="53">
        <f t="shared" ref="L3:L7" si="2">0.024393*((H3^2)*I3)</f>
        <v>520.65394920000006</v>
      </c>
      <c r="M3" s="53">
        <f t="shared" ref="M3:M7" si="3">(0.01579*(H3^2.356307)*(I3^0.623614))</f>
        <v>354.08257262084987</v>
      </c>
      <c r="N3" s="52">
        <f t="shared" si="0"/>
        <v>502.0658142902243</v>
      </c>
      <c r="O3" s="52">
        <f t="shared" ref="O3:O7" si="4">((0.0559)*((J3*H3^2*I3)))</f>
        <v>669.1491404536082</v>
      </c>
      <c r="P3" s="52">
        <f t="shared" ref="P3:P7" si="5">((0.0673)*((J3*H3^2*I3)^0.976))</f>
        <v>643.06002634382173</v>
      </c>
      <c r="Q3" s="52">
        <f t="shared" ref="Q3:Q7" si="6">EXP((-1.305)+(1.055*LN((H3^2))+(0.34*LN(I3))+(1.077*LN(J3))))</f>
        <v>579.85128810732272</v>
      </c>
      <c r="R3" s="52">
        <f t="shared" ref="R3:R7" si="7">EXP(-0.97+(1.1421*LN(H3^2*J3)))</f>
        <v>492.05925509643004</v>
      </c>
      <c r="S3" s="52">
        <f t="shared" ref="S3:S7" si="8">EXP(-1.027+(1.144 *LN(H3^2))+(1.085*LN(J3)))</f>
        <v>486.69970267396133</v>
      </c>
      <c r="U3" s="27">
        <v>1</v>
      </c>
      <c r="V3" t="s">
        <v>23</v>
      </c>
    </row>
    <row r="4" spans="1:22" x14ac:dyDescent="0.3">
      <c r="A4" s="25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21">
        <v>0.55384615384615388</v>
      </c>
      <c r="K4" s="53">
        <f t="shared" si="1"/>
        <v>634.58547533065916</v>
      </c>
      <c r="L4" s="53">
        <f t="shared" si="2"/>
        <v>657.32734276799999</v>
      </c>
      <c r="M4" s="53">
        <f t="shared" si="3"/>
        <v>528.99813011657557</v>
      </c>
      <c r="N4" s="52">
        <f t="shared" si="0"/>
        <v>443.32838858536547</v>
      </c>
      <c r="O4" s="52">
        <f t="shared" si="4"/>
        <v>834.29076095999994</v>
      </c>
      <c r="P4" s="52">
        <f t="shared" si="5"/>
        <v>797.5298658840743</v>
      </c>
      <c r="Q4" s="52">
        <f t="shared" si="6"/>
        <v>861.55058344708834</v>
      </c>
      <c r="R4" s="52">
        <f t="shared" si="7"/>
        <v>821.99376183050401</v>
      </c>
      <c r="S4" s="52">
        <f t="shared" si="8"/>
        <v>814.33626663744133</v>
      </c>
      <c r="U4" s="27">
        <v>2</v>
      </c>
      <c r="V4" t="s">
        <v>25</v>
      </c>
    </row>
    <row r="5" spans="1:22" x14ac:dyDescent="0.3">
      <c r="A5" s="25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3">
        <v>0.49723756906077349</v>
      </c>
      <c r="K5" s="53">
        <f t="shared" si="1"/>
        <v>248.0635562800835</v>
      </c>
      <c r="L5" s="53">
        <f t="shared" si="2"/>
        <v>296.86359057600004</v>
      </c>
      <c r="M5" s="53">
        <f t="shared" si="3"/>
        <v>211.99886776052907</v>
      </c>
      <c r="N5" s="52">
        <f t="shared" si="0"/>
        <v>292.89220174543226</v>
      </c>
      <c r="O5" s="52">
        <f t="shared" si="4"/>
        <v>338.27309940331492</v>
      </c>
      <c r="P5" s="52">
        <f t="shared" si="5"/>
        <v>330.45032493303836</v>
      </c>
      <c r="Q5" s="52">
        <f t="shared" si="6"/>
        <v>341.21254017164205</v>
      </c>
      <c r="R5" s="52">
        <f t="shared" si="7"/>
        <v>306.82776502549547</v>
      </c>
      <c r="S5" s="52">
        <f t="shared" si="8"/>
        <v>305.40814889001723</v>
      </c>
      <c r="U5" s="27">
        <v>3</v>
      </c>
      <c r="V5" t="s">
        <v>27</v>
      </c>
    </row>
    <row r="6" spans="1:22" x14ac:dyDescent="0.3">
      <c r="A6" s="25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21">
        <v>0.49627791563275436</v>
      </c>
      <c r="K6" s="53">
        <f t="shared" si="1"/>
        <v>88.514081045936805</v>
      </c>
      <c r="L6" s="53">
        <f t="shared" si="2"/>
        <v>89.023131648000003</v>
      </c>
      <c r="M6" s="53">
        <f t="shared" si="3"/>
        <v>69.682840328945971</v>
      </c>
      <c r="N6" s="52">
        <f t="shared" si="0"/>
        <v>94.488364183450912</v>
      </c>
      <c r="O6" s="52">
        <f t="shared" si="4"/>
        <v>101.24519225806451</v>
      </c>
      <c r="P6" s="52">
        <f t="shared" si="5"/>
        <v>101.80909180625423</v>
      </c>
      <c r="Q6" s="52">
        <f t="shared" si="6"/>
        <v>141.84793914579387</v>
      </c>
      <c r="R6" s="52">
        <f t="shared" si="7"/>
        <v>145.39132150816238</v>
      </c>
      <c r="S6" s="52">
        <f t="shared" si="8"/>
        <v>144.5554095899877</v>
      </c>
      <c r="V6" t="s">
        <v>28</v>
      </c>
    </row>
    <row r="7" spans="1:22" x14ac:dyDescent="0.3">
      <c r="A7" s="25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22">
        <v>0.50819672131147542</v>
      </c>
      <c r="K7" s="53">
        <f t="shared" si="1"/>
        <v>45.910129091726603</v>
      </c>
      <c r="L7" s="53">
        <f t="shared" si="2"/>
        <v>57.36343255500001</v>
      </c>
      <c r="M7" s="53">
        <f t="shared" si="3"/>
        <v>38.209780729397444</v>
      </c>
      <c r="N7" s="52">
        <f t="shared" si="0"/>
        <v>89.581105255366126</v>
      </c>
      <c r="O7" s="52">
        <f t="shared" si="4"/>
        <v>66.805709696721308</v>
      </c>
      <c r="P7" s="52">
        <f t="shared" si="5"/>
        <v>67.851459794566196</v>
      </c>
      <c r="Q7" s="52">
        <f t="shared" si="6"/>
        <v>82.231519968953521</v>
      </c>
      <c r="R7" s="52">
        <f t="shared" si="7"/>
        <v>76.209991869521403</v>
      </c>
      <c r="S7" s="52">
        <f t="shared" si="8"/>
        <v>75.584542311683393</v>
      </c>
    </row>
    <row r="8" spans="1:22" x14ac:dyDescent="0.3">
      <c r="A8" s="25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21">
        <v>0.65610859728506787</v>
      </c>
      <c r="K8" s="53">
        <f t="shared" ref="K8:K71" si="9">(0.02453 *(H8^2.443356)*(I8^0.423602))</f>
        <v>21.723104442010996</v>
      </c>
      <c r="L8" s="53">
        <f t="shared" ref="L8:L71" si="10">0.024393*((H8^2)*I8)</f>
        <v>35.022298536000001</v>
      </c>
      <c r="M8" s="53">
        <f t="shared" ref="M8:M71" si="11">(0.01579*(H8^2.356307)*(I8^0.623614))</f>
        <v>19.310713987166686</v>
      </c>
      <c r="N8" s="52">
        <f t="shared" si="0"/>
        <v>85.602848344015115</v>
      </c>
      <c r="O8" s="52">
        <f t="shared" ref="O8:O71" si="12">((0.0559)*((J8*H8^2*I8)))</f>
        <v>52.658315999999992</v>
      </c>
      <c r="P8" s="52">
        <f t="shared" ref="P8:P71" si="13">((0.0673)*((J8*H8^2*I8)^0.976))</f>
        <v>53.788929227237517</v>
      </c>
      <c r="Q8" s="52">
        <f t="shared" ref="Q8:Q71" si="14">EXP((-1.305)+(1.055*LN((H8^2))+(0.34*LN(I8))+(1.077*LN(J8))))</f>
        <v>56.472083697609506</v>
      </c>
      <c r="R8" s="52">
        <f t="shared" ref="R8:R71" si="15">EXP(-0.97+(1.1421*LN(H8^2*J8)))</f>
        <v>47.157073380491099</v>
      </c>
      <c r="S8" s="52">
        <f t="shared" ref="S8:S71" si="16">EXP(-1.027+(1.144 *LN(H8^2))+(1.085*LN(J8)))</f>
        <v>46.033651501018525</v>
      </c>
      <c r="U8" s="27">
        <v>4</v>
      </c>
      <c r="V8" s="26" t="s">
        <v>31</v>
      </c>
    </row>
    <row r="9" spans="1:22" x14ac:dyDescent="0.3">
      <c r="A9" s="25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21">
        <v>0.71647509578544066</v>
      </c>
      <c r="K9" s="53">
        <f t="shared" si="9"/>
        <v>42.814707914337959</v>
      </c>
      <c r="L9" s="53">
        <f t="shared" si="10"/>
        <v>69.668847299999996</v>
      </c>
      <c r="M9" s="53">
        <f t="shared" si="11"/>
        <v>38.806277777993955</v>
      </c>
      <c r="N9" s="52">
        <f t="shared" si="0"/>
        <v>145.5285501737153</v>
      </c>
      <c r="O9" s="52">
        <f t="shared" si="12"/>
        <v>114.38954072796935</v>
      </c>
      <c r="P9" s="52">
        <f t="shared" si="13"/>
        <v>114.69016682393941</v>
      </c>
      <c r="Q9" s="52">
        <f t="shared" si="14"/>
        <v>110.96837794706217</v>
      </c>
      <c r="R9" s="52">
        <f t="shared" si="15"/>
        <v>90.746301402583285</v>
      </c>
      <c r="S9" s="52">
        <f t="shared" si="16"/>
        <v>88.221644659971389</v>
      </c>
      <c r="U9" s="27"/>
      <c r="V9" t="s">
        <v>32</v>
      </c>
    </row>
    <row r="10" spans="1:22" x14ac:dyDescent="0.3">
      <c r="A10" s="25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3">
        <v>0.72508591065292094</v>
      </c>
      <c r="K10" s="53">
        <f t="shared" si="9"/>
        <v>64.439562374360008</v>
      </c>
      <c r="L10" s="53">
        <f t="shared" si="10"/>
        <v>92.012347439999999</v>
      </c>
      <c r="M10" s="53">
        <f t="shared" si="11"/>
        <v>56.501175662520858</v>
      </c>
      <c r="N10" s="52">
        <f t="shared" si="0"/>
        <v>151.81605107719457</v>
      </c>
      <c r="O10" s="52">
        <f t="shared" si="12"/>
        <v>152.89108725773195</v>
      </c>
      <c r="P10" s="52">
        <f t="shared" si="13"/>
        <v>152.22926017744911</v>
      </c>
      <c r="Q10" s="52">
        <f t="shared" si="14"/>
        <v>160.35807576360671</v>
      </c>
      <c r="R10" s="52">
        <f t="shared" si="15"/>
        <v>139.51482850635713</v>
      </c>
      <c r="S10" s="52">
        <f t="shared" si="16"/>
        <v>135.63482739935452</v>
      </c>
    </row>
    <row r="11" spans="1:22" x14ac:dyDescent="0.3">
      <c r="A11" s="25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4">
        <v>0.69483568075117375</v>
      </c>
      <c r="K11" s="53">
        <f t="shared" si="9"/>
        <v>47.665923122393345</v>
      </c>
      <c r="L11" s="53">
        <f t="shared" si="10"/>
        <v>67.890597600000007</v>
      </c>
      <c r="M11" s="53">
        <f t="shared" si="11"/>
        <v>41.45670555213357</v>
      </c>
      <c r="N11" s="52">
        <f t="shared" si="0"/>
        <v>120.31609151594604</v>
      </c>
      <c r="O11" s="52">
        <f t="shared" si="12"/>
        <v>108.10314666666666</v>
      </c>
      <c r="P11" s="52">
        <f t="shared" si="13"/>
        <v>108.53438638693694</v>
      </c>
      <c r="Q11" s="52">
        <f t="shared" si="14"/>
        <v>118.32075386964489</v>
      </c>
      <c r="R11" s="52">
        <f t="shared" si="15"/>
        <v>103.78475673836937</v>
      </c>
      <c r="S11" s="52">
        <f t="shared" si="16"/>
        <v>101.10266516990093</v>
      </c>
      <c r="U11" s="27">
        <v>5</v>
      </c>
      <c r="V11" t="s">
        <v>33</v>
      </c>
    </row>
    <row r="12" spans="1:22" x14ac:dyDescent="0.3">
      <c r="A12" s="25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21">
        <v>0.67073170731707321</v>
      </c>
      <c r="K12" s="53">
        <f t="shared" si="9"/>
        <v>23.255975580088041</v>
      </c>
      <c r="L12" s="53">
        <f t="shared" si="10"/>
        <v>34.350881211000001</v>
      </c>
      <c r="M12" s="53">
        <f t="shared" si="11"/>
        <v>20.11900123156552</v>
      </c>
      <c r="N12" s="52">
        <f t="shared" si="0"/>
        <v>75.406210770962389</v>
      </c>
      <c r="O12" s="52">
        <f t="shared" si="12"/>
        <v>52.799925749999993</v>
      </c>
      <c r="P12" s="52">
        <f t="shared" si="13"/>
        <v>53.930103286993706</v>
      </c>
      <c r="Q12" s="52">
        <f t="shared" si="14"/>
        <v>61.518580731528658</v>
      </c>
      <c r="R12" s="52">
        <f t="shared" si="15"/>
        <v>53.945373506282017</v>
      </c>
      <c r="S12" s="52">
        <f t="shared" si="16"/>
        <v>52.603560268918891</v>
      </c>
      <c r="U12" s="72">
        <v>6</v>
      </c>
      <c r="V12" s="71" t="s">
        <v>34</v>
      </c>
    </row>
    <row r="13" spans="1:22" x14ac:dyDescent="0.3">
      <c r="A13" s="25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21">
        <v>0.703125</v>
      </c>
      <c r="K13" s="53">
        <f t="shared" si="9"/>
        <v>87.767019553705964</v>
      </c>
      <c r="L13" s="53">
        <f t="shared" si="10"/>
        <v>104.56283865600003</v>
      </c>
      <c r="M13" s="53">
        <f t="shared" si="11"/>
        <v>73.042580508324662</v>
      </c>
      <c r="N13" s="52">
        <f t="shared" si="0"/>
        <v>132.55021535571171</v>
      </c>
      <c r="O13" s="52">
        <f t="shared" si="12"/>
        <v>168.483159</v>
      </c>
      <c r="P13" s="52">
        <f t="shared" si="13"/>
        <v>167.3633192995633</v>
      </c>
      <c r="Q13" s="52">
        <f t="shared" si="14"/>
        <v>203.57429313665691</v>
      </c>
      <c r="R13" s="52">
        <f t="shared" si="15"/>
        <v>193.96393912084778</v>
      </c>
      <c r="S13" s="52">
        <f t="shared" si="16"/>
        <v>189.01573789645261</v>
      </c>
      <c r="V13" t="s">
        <v>35</v>
      </c>
    </row>
    <row r="14" spans="1:22" x14ac:dyDescent="0.3">
      <c r="A14" s="25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21">
        <v>0.39500000000000002</v>
      </c>
      <c r="K14" s="53">
        <f t="shared" si="9"/>
        <v>136.60250515356253</v>
      </c>
      <c r="L14" s="53">
        <f t="shared" si="10"/>
        <v>173.76012048000001</v>
      </c>
      <c r="M14" s="53">
        <f t="shared" si="11"/>
        <v>117.40976756050668</v>
      </c>
      <c r="N14" s="52">
        <f t="shared" si="0"/>
        <v>211.45755458962046</v>
      </c>
      <c r="O14" s="52">
        <f t="shared" si="12"/>
        <v>157.28735048000001</v>
      </c>
      <c r="P14" s="52">
        <f t="shared" si="13"/>
        <v>156.49997963500013</v>
      </c>
      <c r="Q14" s="52">
        <f t="shared" si="14"/>
        <v>159.37402756056949</v>
      </c>
      <c r="R14" s="52">
        <f t="shared" si="15"/>
        <v>138.97410308570173</v>
      </c>
      <c r="S14" s="52">
        <f t="shared" si="16"/>
        <v>140.03792710944157</v>
      </c>
    </row>
    <row r="15" spans="1:22" x14ac:dyDescent="0.3">
      <c r="A15" s="25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21">
        <v>0.46368715083798884</v>
      </c>
      <c r="K15" s="53">
        <f t="shared" si="9"/>
        <v>86.840005642575207</v>
      </c>
      <c r="L15" s="53">
        <f t="shared" si="10"/>
        <v>106.28549670900004</v>
      </c>
      <c r="M15" s="53">
        <f t="shared" si="11"/>
        <v>72.896818922532134</v>
      </c>
      <c r="N15" s="52">
        <f t="shared" si="0"/>
        <v>138.91301245775276</v>
      </c>
      <c r="O15" s="52">
        <f t="shared" si="12"/>
        <v>112.93944779944138</v>
      </c>
      <c r="P15" s="52">
        <f t="shared" si="13"/>
        <v>113.27093981115826</v>
      </c>
      <c r="Q15" s="52">
        <f t="shared" si="14"/>
        <v>128.70085828195721</v>
      </c>
      <c r="R15" s="52">
        <f t="shared" si="15"/>
        <v>117.57619349613297</v>
      </c>
      <c r="S15" s="52">
        <f t="shared" si="16"/>
        <v>117.32818110018769</v>
      </c>
      <c r="U15" s="63">
        <v>7</v>
      </c>
      <c r="V15" s="64" t="s">
        <v>39</v>
      </c>
    </row>
    <row r="16" spans="1:22" x14ac:dyDescent="0.3">
      <c r="A16" s="25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21">
        <v>0.42857142857142855</v>
      </c>
      <c r="K16" s="53">
        <f t="shared" si="9"/>
        <v>64.857571218208847</v>
      </c>
      <c r="L16" s="53">
        <f t="shared" si="10"/>
        <v>84.926668800000002</v>
      </c>
      <c r="M16" s="53">
        <f t="shared" si="11"/>
        <v>55.27760354739727</v>
      </c>
      <c r="N16" s="52">
        <f t="shared" si="0"/>
        <v>127.89441167183098</v>
      </c>
      <c r="O16" s="52">
        <f t="shared" si="12"/>
        <v>83.409188571428558</v>
      </c>
      <c r="P16" s="52">
        <f t="shared" si="13"/>
        <v>84.264743373937264</v>
      </c>
      <c r="Q16" s="52">
        <f t="shared" si="14"/>
        <v>91.839835170302948</v>
      </c>
      <c r="R16" s="52">
        <f t="shared" si="15"/>
        <v>81.080969025957984</v>
      </c>
      <c r="S16" s="52">
        <f t="shared" si="16"/>
        <v>81.236513355760124</v>
      </c>
      <c r="U16" s="27">
        <v>8</v>
      </c>
      <c r="V16" t="s">
        <v>40</v>
      </c>
    </row>
    <row r="17" spans="1:22" x14ac:dyDescent="0.3">
      <c r="A17" s="25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21">
        <v>0.40625</v>
      </c>
      <c r="K17" s="53">
        <f t="shared" si="9"/>
        <v>48.357453100469129</v>
      </c>
      <c r="L17" s="53">
        <f t="shared" si="10"/>
        <v>64.845619409999998</v>
      </c>
      <c r="M17" s="53">
        <f t="shared" si="11"/>
        <v>41.245748770714577</v>
      </c>
      <c r="N17" s="52">
        <f t="shared" si="0"/>
        <v>107.57805682545897</v>
      </c>
      <c r="O17" s="52">
        <f t="shared" si="12"/>
        <v>60.369921218749994</v>
      </c>
      <c r="P17" s="52">
        <f t="shared" si="13"/>
        <v>61.464174648886299</v>
      </c>
      <c r="Q17" s="52">
        <f t="shared" si="14"/>
        <v>67.362150563262205</v>
      </c>
      <c r="R17" s="52">
        <f t="shared" si="15"/>
        <v>59.01410726978618</v>
      </c>
      <c r="S17" s="52">
        <f t="shared" si="16"/>
        <v>59.282871508835896</v>
      </c>
      <c r="U17" s="27">
        <v>9</v>
      </c>
      <c r="V17" t="s">
        <v>41</v>
      </c>
    </row>
    <row r="18" spans="1:22" x14ac:dyDescent="0.3">
      <c r="A18" s="25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21">
        <v>0.43792325056433407</v>
      </c>
      <c r="K18" s="53">
        <f t="shared" si="9"/>
        <v>164.48904158812033</v>
      </c>
      <c r="L18" s="53">
        <f t="shared" si="10"/>
        <v>185.39802078000002</v>
      </c>
      <c r="M18" s="53">
        <f t="shared" si="11"/>
        <v>136.46898047391232</v>
      </c>
      <c r="N18" s="52">
        <f t="shared" si="0"/>
        <v>190.16332694504101</v>
      </c>
      <c r="O18" s="52">
        <f t="shared" si="12"/>
        <v>186.0585745282167</v>
      </c>
      <c r="P18" s="52">
        <f t="shared" si="13"/>
        <v>184.38230356964721</v>
      </c>
      <c r="Q18" s="52">
        <f t="shared" si="14"/>
        <v>209.81468271339196</v>
      </c>
      <c r="R18" s="52">
        <f t="shared" si="15"/>
        <v>196.10533440694201</v>
      </c>
      <c r="S18" s="52">
        <f t="shared" si="16"/>
        <v>196.51999681091985</v>
      </c>
      <c r="V18" t="s">
        <v>42</v>
      </c>
    </row>
    <row r="19" spans="1:22" x14ac:dyDescent="0.3">
      <c r="A19" s="25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21">
        <v>0.45070422535211269</v>
      </c>
      <c r="K19" s="53">
        <f t="shared" si="9"/>
        <v>25.918800347020802</v>
      </c>
      <c r="L19" s="53">
        <f t="shared" si="10"/>
        <v>28.8032544</v>
      </c>
      <c r="M19" s="53">
        <f t="shared" si="11"/>
        <v>20.470646848613331</v>
      </c>
      <c r="N19" s="52">
        <f t="shared" si="0"/>
        <v>45.844199849688202</v>
      </c>
      <c r="O19" s="52">
        <f t="shared" si="12"/>
        <v>29.749507605633802</v>
      </c>
      <c r="P19" s="52">
        <f t="shared" si="13"/>
        <v>30.807567373997031</v>
      </c>
      <c r="Q19" s="52">
        <f t="shared" si="14"/>
        <v>44.48935660933217</v>
      </c>
      <c r="R19" s="52">
        <f t="shared" si="15"/>
        <v>44.515349241077985</v>
      </c>
      <c r="S19" s="52">
        <f t="shared" si="16"/>
        <v>44.424103895574881</v>
      </c>
    </row>
    <row r="20" spans="1:22" x14ac:dyDescent="0.3">
      <c r="A20" s="25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21">
        <v>0.58227848101265822</v>
      </c>
      <c r="K20" s="53">
        <f t="shared" si="9"/>
        <v>57.749140557106642</v>
      </c>
      <c r="L20" s="53">
        <f t="shared" si="10"/>
        <v>78.337046208000004</v>
      </c>
      <c r="M20" s="53">
        <f t="shared" si="11"/>
        <v>49.655628229066984</v>
      </c>
      <c r="N20" s="52">
        <f t="shared" si="0"/>
        <v>125.90893913864643</v>
      </c>
      <c r="O20" s="52">
        <f t="shared" si="12"/>
        <v>104.53086023291139</v>
      </c>
      <c r="P20" s="52">
        <f t="shared" si="13"/>
        <v>105.03252244550795</v>
      </c>
      <c r="Q20" s="52">
        <f t="shared" si="14"/>
        <v>115.50652308880539</v>
      </c>
      <c r="R20" s="52">
        <f t="shared" si="15"/>
        <v>102.34280001472503</v>
      </c>
      <c r="S20" s="52">
        <f t="shared" si="16"/>
        <v>100.74060382451</v>
      </c>
    </row>
    <row r="21" spans="1:22" x14ac:dyDescent="0.3">
      <c r="A21" s="25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21">
        <v>0.53846153846153844</v>
      </c>
      <c r="K21" s="53">
        <f t="shared" si="9"/>
        <v>56.646529284036639</v>
      </c>
      <c r="L21" s="53">
        <f t="shared" si="10"/>
        <v>80.690799957000024</v>
      </c>
      <c r="M21" s="53">
        <f t="shared" si="11"/>
        <v>49.474854783972269</v>
      </c>
      <c r="N21" s="52">
        <f t="shared" si="0"/>
        <v>137.07854076142746</v>
      </c>
      <c r="O21" s="52">
        <f t="shared" si="12"/>
        <v>99.569264900000007</v>
      </c>
      <c r="P21" s="52">
        <f t="shared" si="13"/>
        <v>100.16394782751173</v>
      </c>
      <c r="Q21" s="52">
        <f t="shared" si="14"/>
        <v>104.23310073500977</v>
      </c>
      <c r="R21" s="52">
        <f t="shared" si="15"/>
        <v>89.428963185424024</v>
      </c>
      <c r="S21" s="52">
        <f t="shared" si="16"/>
        <v>88.416350602944036</v>
      </c>
      <c r="V21" t="s">
        <v>46</v>
      </c>
    </row>
    <row r="22" spans="1:22" x14ac:dyDescent="0.3">
      <c r="A22" s="25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4">
        <v>0.49342105263157893</v>
      </c>
      <c r="K22" s="53">
        <f t="shared" si="9"/>
        <v>43.972015168245861</v>
      </c>
      <c r="L22" s="53">
        <f t="shared" si="10"/>
        <v>60.891684860999995</v>
      </c>
      <c r="M22" s="53">
        <f t="shared" si="11"/>
        <v>37.817635938026122</v>
      </c>
      <c r="N22" s="52">
        <f t="shared" si="0"/>
        <v>106.90952769132673</v>
      </c>
      <c r="O22" s="52">
        <f t="shared" si="12"/>
        <v>68.85290343749999</v>
      </c>
      <c r="P22" s="52">
        <f t="shared" si="13"/>
        <v>69.880059184368903</v>
      </c>
      <c r="Q22" s="52">
        <f t="shared" si="14"/>
        <v>76.459436363136234</v>
      </c>
      <c r="R22" s="52">
        <f t="shared" si="15"/>
        <v>66.812139493124789</v>
      </c>
      <c r="S22" s="52">
        <f t="shared" si="16"/>
        <v>66.364740812987051</v>
      </c>
    </row>
    <row r="23" spans="1:22" x14ac:dyDescent="0.3">
      <c r="A23" s="25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21">
        <v>0.54658385093167705</v>
      </c>
      <c r="K23" s="53">
        <f t="shared" si="9"/>
        <v>47.761387774507611</v>
      </c>
      <c r="L23" s="53">
        <f t="shared" si="10"/>
        <v>58.235653055999997</v>
      </c>
      <c r="M23" s="53">
        <f t="shared" si="11"/>
        <v>39.469530697080451</v>
      </c>
      <c r="N23" s="52">
        <f t="shared" si="0"/>
        <v>87.811676042500451</v>
      </c>
      <c r="O23" s="52">
        <f t="shared" si="12"/>
        <v>72.944464139130432</v>
      </c>
      <c r="P23" s="52">
        <f t="shared" si="13"/>
        <v>73.930162681484205</v>
      </c>
      <c r="Q23" s="52">
        <f t="shared" si="14"/>
        <v>92.091749595943767</v>
      </c>
      <c r="R23" s="52">
        <f t="shared" si="15"/>
        <v>86.841431260556178</v>
      </c>
      <c r="S23" s="52">
        <f t="shared" si="16"/>
        <v>85.77812026429136</v>
      </c>
    </row>
    <row r="24" spans="1:22" x14ac:dyDescent="0.3">
      <c r="A24" s="25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21">
        <v>0.61250000000000004</v>
      </c>
      <c r="K24" s="53">
        <f t="shared" si="9"/>
        <v>42.976369993304075</v>
      </c>
      <c r="L24" s="53">
        <f t="shared" si="10"/>
        <v>57.686859341999984</v>
      </c>
      <c r="M24" s="53">
        <f t="shared" si="11"/>
        <v>36.563792577069911</v>
      </c>
      <c r="N24" s="52">
        <f t="shared" si="0"/>
        <v>98.617493947276444</v>
      </c>
      <c r="O24" s="52">
        <f t="shared" si="12"/>
        <v>80.971014442499992</v>
      </c>
      <c r="P24" s="52">
        <f t="shared" si="13"/>
        <v>81.859824675151643</v>
      </c>
      <c r="Q24" s="52">
        <f t="shared" si="14"/>
        <v>94.746973314952882</v>
      </c>
      <c r="R24" s="52">
        <f t="shared" si="15"/>
        <v>85.523475402778857</v>
      </c>
      <c r="S24" s="52">
        <f t="shared" si="16"/>
        <v>83.908573078216435</v>
      </c>
    </row>
    <row r="25" spans="1:22" x14ac:dyDescent="0.3">
      <c r="A25" s="25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21">
        <v>0.56896551724137934</v>
      </c>
      <c r="K25" s="53">
        <f t="shared" si="9"/>
        <v>24.224291211193648</v>
      </c>
      <c r="L25" s="53">
        <f t="shared" si="10"/>
        <v>27.899737680000001</v>
      </c>
      <c r="M25" s="53">
        <f t="shared" si="11"/>
        <v>19.327273623599073</v>
      </c>
      <c r="N25" s="52">
        <f t="shared" si="0"/>
        <v>46.853623579190248</v>
      </c>
      <c r="O25" s="52">
        <f t="shared" si="12"/>
        <v>36.377483999999995</v>
      </c>
      <c r="P25" s="52">
        <f t="shared" si="13"/>
        <v>37.489859626692365</v>
      </c>
      <c r="Q25" s="52">
        <f t="shared" si="14"/>
        <v>53.886758182957649</v>
      </c>
      <c r="R25" s="52">
        <f t="shared" si="15"/>
        <v>53.75921900722274</v>
      </c>
      <c r="S25" s="52">
        <f t="shared" si="16"/>
        <v>52.933145001332022</v>
      </c>
      <c r="U25" s="27">
        <v>0</v>
      </c>
      <c r="V25" t="s">
        <v>47</v>
      </c>
    </row>
    <row r="26" spans="1:22" x14ac:dyDescent="0.3">
      <c r="A26" s="25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21">
        <v>0.34926470588235292</v>
      </c>
      <c r="K26" s="53">
        <f t="shared" si="9"/>
        <v>54.835816821976017</v>
      </c>
      <c r="L26" s="53">
        <f t="shared" si="10"/>
        <v>74.733761034000011</v>
      </c>
      <c r="M26" s="53">
        <f t="shared" si="11"/>
        <v>47.164333668092411</v>
      </c>
      <c r="N26" s="52">
        <f t="shared" si="0"/>
        <v>122.24595919482643</v>
      </c>
      <c r="O26" s="52">
        <f t="shared" si="12"/>
        <v>59.816105327205889</v>
      </c>
      <c r="P26" s="52">
        <f t="shared" si="13"/>
        <v>60.913792127941662</v>
      </c>
      <c r="Q26" s="52">
        <f t="shared" si="14"/>
        <v>63.709651595653597</v>
      </c>
      <c r="R26" s="52">
        <f t="shared" si="15"/>
        <v>54.546063177186234</v>
      </c>
      <c r="S26" s="52">
        <f t="shared" si="16"/>
        <v>55.278035451639717</v>
      </c>
      <c r="V26" t="s">
        <v>49</v>
      </c>
    </row>
    <row r="27" spans="1:22" x14ac:dyDescent="0.3">
      <c r="A27" s="25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21">
        <v>0.33214285714285713</v>
      </c>
      <c r="K27" s="53">
        <f t="shared" si="9"/>
        <v>77.550062734419853</v>
      </c>
      <c r="L27" s="53">
        <f t="shared" si="10"/>
        <v>110.20801307400001</v>
      </c>
      <c r="M27" s="53">
        <f t="shared" si="11"/>
        <v>68.194289081780056</v>
      </c>
      <c r="N27" s="52">
        <f t="shared" si="0"/>
        <v>172.89615176405852</v>
      </c>
      <c r="O27" s="52">
        <f t="shared" si="12"/>
        <v>83.885072059285704</v>
      </c>
      <c r="P27" s="52">
        <f t="shared" si="13"/>
        <v>84.733937733562911</v>
      </c>
      <c r="Q27" s="52">
        <f t="shared" si="14"/>
        <v>81.073607116089761</v>
      </c>
      <c r="R27" s="52">
        <f t="shared" si="15"/>
        <v>66.829544938242876</v>
      </c>
      <c r="S27" s="52">
        <f t="shared" si="16"/>
        <v>67.95045798961614</v>
      </c>
    </row>
    <row r="28" spans="1:22" x14ac:dyDescent="0.3">
      <c r="A28" s="25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21">
        <v>0.34365325077399383</v>
      </c>
      <c r="K28" s="53">
        <f t="shared" si="9"/>
        <v>57.701545722342907</v>
      </c>
      <c r="L28" s="53">
        <f t="shared" si="10"/>
        <v>65.984699331000002</v>
      </c>
      <c r="M28" s="53">
        <f t="shared" si="11"/>
        <v>46.900850573372274</v>
      </c>
      <c r="N28" s="52">
        <f t="shared" si="0"/>
        <v>88.871997570816845</v>
      </c>
      <c r="O28" s="52">
        <f t="shared" si="12"/>
        <v>51.964923307430347</v>
      </c>
      <c r="P28" s="52">
        <f t="shared" si="13"/>
        <v>53.09753788008603</v>
      </c>
      <c r="Q28" s="52">
        <f t="shared" si="14"/>
        <v>65.854559551240499</v>
      </c>
      <c r="R28" s="52">
        <f t="shared" si="15"/>
        <v>62.11104515174209</v>
      </c>
      <c r="S28" s="52">
        <f t="shared" si="16"/>
        <v>63.018328940205841</v>
      </c>
    </row>
    <row r="29" spans="1:22" x14ac:dyDescent="0.3">
      <c r="A29" s="25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22" t="s">
        <v>21</v>
      </c>
      <c r="H29" s="22">
        <v>24.5</v>
      </c>
      <c r="I29" s="22">
        <v>11.9</v>
      </c>
      <c r="J29" s="21">
        <v>0.34666666666666668</v>
      </c>
      <c r="K29" s="53">
        <f t="shared" si="9"/>
        <v>173.59158932450023</v>
      </c>
      <c r="L29" s="53">
        <f t="shared" si="10"/>
        <v>174.23858917500002</v>
      </c>
      <c r="M29" s="53">
        <f t="shared" si="11"/>
        <v>138.8065760361915</v>
      </c>
      <c r="N29" s="52">
        <f t="shared" si="0"/>
        <v>156.40114010938478</v>
      </c>
      <c r="O29" s="52">
        <f t="shared" si="12"/>
        <v>138.42133153333336</v>
      </c>
      <c r="P29" s="52">
        <f t="shared" si="13"/>
        <v>138.15139982167074</v>
      </c>
      <c r="Q29" s="52">
        <f t="shared" si="14"/>
        <v>171.61586003723787</v>
      </c>
      <c r="R29" s="52">
        <f t="shared" si="15"/>
        <v>168.42288962558084</v>
      </c>
      <c r="S29" s="52">
        <f t="shared" si="16"/>
        <v>171.07879391825071</v>
      </c>
      <c r="U29" s="27">
        <v>11</v>
      </c>
      <c r="V29" s="73" t="s">
        <v>50</v>
      </c>
    </row>
    <row r="30" spans="1:22" x14ac:dyDescent="0.3">
      <c r="A30" s="25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21">
        <v>0.35307517084282458</v>
      </c>
      <c r="K30" s="53">
        <f t="shared" si="9"/>
        <v>209.54021616539788</v>
      </c>
      <c r="L30" s="53">
        <f t="shared" si="10"/>
        <v>275.92971311999997</v>
      </c>
      <c r="M30" s="53">
        <f t="shared" si="11"/>
        <v>184.05479562008213</v>
      </c>
      <c r="N30" s="52">
        <f t="shared" si="0"/>
        <v>313.33010772141915</v>
      </c>
      <c r="O30" s="52">
        <f t="shared" si="12"/>
        <v>223.26067808656032</v>
      </c>
      <c r="P30" s="52">
        <f t="shared" si="13"/>
        <v>220.28345801352725</v>
      </c>
      <c r="Q30" s="52">
        <f t="shared" si="14"/>
        <v>203.45455136172177</v>
      </c>
      <c r="R30" s="52">
        <f t="shared" si="15"/>
        <v>170.38419149213337</v>
      </c>
      <c r="S30" s="52">
        <f t="shared" si="16"/>
        <v>172.88741380185189</v>
      </c>
      <c r="V30" t="s">
        <v>51</v>
      </c>
    </row>
    <row r="31" spans="1:22" x14ac:dyDescent="0.3">
      <c r="A31" s="25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21">
        <v>0.34420289855072461</v>
      </c>
      <c r="K31" s="53">
        <f t="shared" si="9"/>
        <v>47.379812463008413</v>
      </c>
      <c r="L31" s="53">
        <f t="shared" si="10"/>
        <v>60.191776512000011</v>
      </c>
      <c r="M31" s="53">
        <f t="shared" si="11"/>
        <v>39.679475373797139</v>
      </c>
      <c r="N31" s="52">
        <f t="shared" si="0"/>
        <v>94.893167399390066</v>
      </c>
      <c r="O31" s="52">
        <f t="shared" si="12"/>
        <v>47.478640695652167</v>
      </c>
      <c r="P31" s="52">
        <f t="shared" si="13"/>
        <v>48.618712938934173</v>
      </c>
      <c r="Q31" s="52">
        <f t="shared" si="14"/>
        <v>55.491410988053303</v>
      </c>
      <c r="R31" s="52">
        <f t="shared" si="15"/>
        <v>49.62057859104516</v>
      </c>
      <c r="S31" s="52">
        <f t="shared" si="16"/>
        <v>50.321862495960012</v>
      </c>
    </row>
    <row r="32" spans="1:22" x14ac:dyDescent="0.3">
      <c r="A32" s="25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21">
        <v>0.5829596412556054</v>
      </c>
      <c r="K32" s="53">
        <f t="shared" si="9"/>
        <v>28.424360108786871</v>
      </c>
      <c r="L32" s="53">
        <f t="shared" si="10"/>
        <v>36.960932211000006</v>
      </c>
      <c r="M32" s="53">
        <f t="shared" si="11"/>
        <v>23.694039007706287</v>
      </c>
      <c r="N32" s="52">
        <f t="shared" si="0"/>
        <v>67.676633362222702</v>
      </c>
      <c r="O32" s="52">
        <f t="shared" si="12"/>
        <v>49.377374928251122</v>
      </c>
      <c r="P32" s="52">
        <f t="shared" si="13"/>
        <v>50.515477833262089</v>
      </c>
      <c r="Q32" s="52">
        <f t="shared" si="14"/>
        <v>63.129583927042276</v>
      </c>
      <c r="R32" s="52">
        <f t="shared" si="15"/>
        <v>58.591476233041867</v>
      </c>
      <c r="S32" s="52">
        <f t="shared" si="16"/>
        <v>57.61675242794945</v>
      </c>
    </row>
    <row r="33" spans="1:19" x14ac:dyDescent="0.3">
      <c r="A33" s="25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21">
        <v>0.5892857142857143</v>
      </c>
      <c r="K33" s="53">
        <f t="shared" si="9"/>
        <v>23.410072466227707</v>
      </c>
      <c r="L33" s="53">
        <f t="shared" si="10"/>
        <v>29.374636031999994</v>
      </c>
      <c r="M33" s="53">
        <f t="shared" si="11"/>
        <v>19.196408982589762</v>
      </c>
      <c r="N33" s="52">
        <f t="shared" si="0"/>
        <v>54.36688852501856</v>
      </c>
      <c r="O33" s="52">
        <f t="shared" si="12"/>
        <v>39.668428799999987</v>
      </c>
      <c r="P33" s="52">
        <f t="shared" si="13"/>
        <v>40.79655195191517</v>
      </c>
      <c r="Q33" s="52">
        <f t="shared" si="14"/>
        <v>54.163778867979254</v>
      </c>
      <c r="R33" s="52">
        <f t="shared" si="15"/>
        <v>51.6472717533576</v>
      </c>
      <c r="S33" s="52">
        <f t="shared" si="16"/>
        <v>50.745088986282262</v>
      </c>
    </row>
    <row r="34" spans="1:19" x14ac:dyDescent="0.3">
      <c r="A34" s="25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21">
        <v>0.5728952772073922</v>
      </c>
      <c r="K34" s="53">
        <f t="shared" si="9"/>
        <v>169.9949713663205</v>
      </c>
      <c r="L34" s="53">
        <f t="shared" si="10"/>
        <v>240.43692239999999</v>
      </c>
      <c r="M34" s="53">
        <f t="shared" si="11"/>
        <v>152.10503413549651</v>
      </c>
      <c r="N34" s="52">
        <f t="shared" ref="N34:N65" si="17">10^(-0.717903255+0.940214879*LOG10(H34)+1.345432588*LOG10(I34)*1.109844005)</f>
        <v>309.5153797520847</v>
      </c>
      <c r="O34" s="52">
        <f t="shared" si="12"/>
        <v>315.66250201232032</v>
      </c>
      <c r="P34" s="52">
        <f t="shared" si="13"/>
        <v>308.87501703996196</v>
      </c>
      <c r="Q34" s="52">
        <f t="shared" si="14"/>
        <v>285.65886837975046</v>
      </c>
      <c r="R34" s="52">
        <f t="shared" si="15"/>
        <v>238.65555675532929</v>
      </c>
      <c r="S34" s="52">
        <f t="shared" si="16"/>
        <v>235.47608694947817</v>
      </c>
    </row>
    <row r="35" spans="1:19" x14ac:dyDescent="0.3">
      <c r="A35" s="25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21">
        <v>0.5625</v>
      </c>
      <c r="K35" s="53">
        <f t="shared" si="9"/>
        <v>44.640065364320535</v>
      </c>
      <c r="L35" s="53">
        <f t="shared" si="10"/>
        <v>79.155163035000001</v>
      </c>
      <c r="M35" s="53">
        <f t="shared" si="11"/>
        <v>41.663531849169367</v>
      </c>
      <c r="N35" s="52">
        <f t="shared" si="17"/>
        <v>178.8939172985724</v>
      </c>
      <c r="O35" s="52">
        <f t="shared" si="12"/>
        <v>102.03481153125</v>
      </c>
      <c r="P35" s="52">
        <f t="shared" si="13"/>
        <v>102.58398022914031</v>
      </c>
      <c r="Q35" s="52">
        <f t="shared" si="14"/>
        <v>88.325014836220447</v>
      </c>
      <c r="R35" s="52">
        <f t="shared" si="15"/>
        <v>67.632946239651048</v>
      </c>
      <c r="S35" s="52">
        <f t="shared" si="16"/>
        <v>66.66406093818081</v>
      </c>
    </row>
    <row r="36" spans="1:19" x14ac:dyDescent="0.3">
      <c r="A36" s="25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21">
        <v>0.59403669724770647</v>
      </c>
      <c r="K36" s="53">
        <f t="shared" si="9"/>
        <v>158.2896177382413</v>
      </c>
      <c r="L36" s="53">
        <f t="shared" si="10"/>
        <v>203.16919942799998</v>
      </c>
      <c r="M36" s="53">
        <f t="shared" si="11"/>
        <v>136.94002650445887</v>
      </c>
      <c r="N36" s="52">
        <f t="shared" si="17"/>
        <v>240.69284895941914</v>
      </c>
      <c r="O36" s="52">
        <f t="shared" si="12"/>
        <v>276.57806648532107</v>
      </c>
      <c r="P36" s="52">
        <f t="shared" si="13"/>
        <v>271.49088315529576</v>
      </c>
      <c r="Q36" s="52">
        <f t="shared" si="14"/>
        <v>280.49740886227426</v>
      </c>
      <c r="R36" s="52">
        <f t="shared" si="15"/>
        <v>248.74018784060303</v>
      </c>
      <c r="S36" s="52">
        <f t="shared" si="16"/>
        <v>244.91905540757671</v>
      </c>
    </row>
    <row r="37" spans="1:19" x14ac:dyDescent="0.3">
      <c r="A37" s="25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21">
        <v>0.52463768115942033</v>
      </c>
      <c r="K37" s="53">
        <f t="shared" si="9"/>
        <v>65.161290026948265</v>
      </c>
      <c r="L37" s="53">
        <f t="shared" si="10"/>
        <v>81.941746176000009</v>
      </c>
      <c r="M37" s="53">
        <f t="shared" si="11"/>
        <v>54.807811820962151</v>
      </c>
      <c r="N37" s="52">
        <f t="shared" si="17"/>
        <v>118.1977344066806</v>
      </c>
      <c r="O37" s="52">
        <f t="shared" si="12"/>
        <v>98.517024500869582</v>
      </c>
      <c r="P37" s="52">
        <f t="shared" si="13"/>
        <v>99.130695973273689</v>
      </c>
      <c r="Q37" s="52">
        <f t="shared" si="14"/>
        <v>114.83186841183492</v>
      </c>
      <c r="R37" s="52">
        <f t="shared" si="15"/>
        <v>105.0896778324378</v>
      </c>
      <c r="S37" s="52">
        <f t="shared" si="16"/>
        <v>104.08723115521806</v>
      </c>
    </row>
    <row r="38" spans="1:19" x14ac:dyDescent="0.3">
      <c r="A38" s="25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21">
        <v>0.68888888888888888</v>
      </c>
      <c r="K38" s="53">
        <f t="shared" si="9"/>
        <v>37.152565918888499</v>
      </c>
      <c r="L38" s="53">
        <f t="shared" si="10"/>
        <v>45.737704362000002</v>
      </c>
      <c r="M38" s="53">
        <f t="shared" si="11"/>
        <v>30.613762626834301</v>
      </c>
      <c r="N38" s="52">
        <f t="shared" si="17"/>
        <v>74.091144432374918</v>
      </c>
      <c r="O38" s="52">
        <f t="shared" si="12"/>
        <v>72.205475968888891</v>
      </c>
      <c r="P38" s="52">
        <f t="shared" si="13"/>
        <v>73.199074766530771</v>
      </c>
      <c r="Q38" s="52">
        <f t="shared" si="14"/>
        <v>95.249635998215126</v>
      </c>
      <c r="R38" s="52">
        <f t="shared" si="15"/>
        <v>91.40847202854998</v>
      </c>
      <c r="S38" s="52">
        <f t="shared" si="16"/>
        <v>89.07256976204259</v>
      </c>
    </row>
    <row r="39" spans="1:19" x14ac:dyDescent="0.3">
      <c r="A39" s="25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21">
        <v>0.73076923076923073</v>
      </c>
      <c r="K39" s="53">
        <f t="shared" si="9"/>
        <v>34.713435417794351</v>
      </c>
      <c r="L39" s="53">
        <f t="shared" si="10"/>
        <v>42.460895100000002</v>
      </c>
      <c r="M39" s="53">
        <f t="shared" si="11"/>
        <v>28.496670560193575</v>
      </c>
      <c r="N39" s="52">
        <f t="shared" si="17"/>
        <v>69.475543922911626</v>
      </c>
      <c r="O39" s="52">
        <f t="shared" si="12"/>
        <v>71.107594999999989</v>
      </c>
      <c r="P39" s="52">
        <f t="shared" si="13"/>
        <v>72.112598661352052</v>
      </c>
      <c r="Q39" s="52">
        <f t="shared" si="14"/>
        <v>95.790438943571061</v>
      </c>
      <c r="R39" s="52">
        <f t="shared" si="15"/>
        <v>92.816926830081059</v>
      </c>
      <c r="S39" s="52">
        <f t="shared" si="16"/>
        <v>90.13293882182036</v>
      </c>
    </row>
    <row r="40" spans="1:19" x14ac:dyDescent="0.3">
      <c r="A40" s="25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21">
        <v>0.70329670329670335</v>
      </c>
      <c r="K40" s="53">
        <f t="shared" si="9"/>
        <v>33.939793484914127</v>
      </c>
      <c r="L40" s="53">
        <f t="shared" si="10"/>
        <v>35.916058055999997</v>
      </c>
      <c r="M40" s="53">
        <f t="shared" si="11"/>
        <v>26.549366812988076</v>
      </c>
      <c r="N40" s="52">
        <f t="shared" si="17"/>
        <v>50.85607443045744</v>
      </c>
      <c r="O40" s="52">
        <f t="shared" si="12"/>
        <v>57.886039771428564</v>
      </c>
      <c r="P40" s="52">
        <f t="shared" si="13"/>
        <v>58.994728426745795</v>
      </c>
      <c r="Q40" s="52">
        <f t="shared" si="14"/>
        <v>90.677969765650957</v>
      </c>
      <c r="R40" s="52">
        <f t="shared" si="15"/>
        <v>95.210338038512248</v>
      </c>
      <c r="S40" s="52">
        <f t="shared" si="16"/>
        <v>92.670329423268598</v>
      </c>
    </row>
    <row r="41" spans="1:19" x14ac:dyDescent="0.3">
      <c r="A41" s="25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21">
        <v>0.6875</v>
      </c>
      <c r="K41" s="53">
        <f t="shared" si="9"/>
        <v>50.828592880773257</v>
      </c>
      <c r="L41" s="53">
        <f t="shared" si="10"/>
        <v>60.9215175</v>
      </c>
      <c r="M41" s="53">
        <f t="shared" si="11"/>
        <v>41.830421473617626</v>
      </c>
      <c r="N41" s="52">
        <f t="shared" si="17"/>
        <v>88.873591177433241</v>
      </c>
      <c r="O41" s="52">
        <f t="shared" si="12"/>
        <v>95.982046874999995</v>
      </c>
      <c r="P41" s="52">
        <f t="shared" si="13"/>
        <v>96.640370624522191</v>
      </c>
      <c r="Q41" s="52">
        <f t="shared" si="14"/>
        <v>124.43735494093484</v>
      </c>
      <c r="R41" s="52">
        <f t="shared" si="15"/>
        <v>120.03590192577725</v>
      </c>
      <c r="S41" s="52">
        <f t="shared" si="16"/>
        <v>117.03540167839209</v>
      </c>
    </row>
    <row r="42" spans="1:19" x14ac:dyDescent="0.3">
      <c r="A42" s="25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22" t="s">
        <v>21</v>
      </c>
      <c r="H42" s="22">
        <v>12.3</v>
      </c>
      <c r="I42" s="22">
        <v>10.199999999999999</v>
      </c>
      <c r="J42" s="21">
        <v>0.72023809523809523</v>
      </c>
      <c r="K42" s="53">
        <f t="shared" si="9"/>
        <v>30.19734714695657</v>
      </c>
      <c r="L42" s="53">
        <f t="shared" si="10"/>
        <v>37.642253094000004</v>
      </c>
      <c r="M42" s="53">
        <f t="shared" si="11"/>
        <v>24.860528731605626</v>
      </c>
      <c r="N42" s="52">
        <f t="shared" si="17"/>
        <v>64.998598185869355</v>
      </c>
      <c r="O42" s="52">
        <f t="shared" si="12"/>
        <v>62.129561882142852</v>
      </c>
      <c r="P42" s="52">
        <f t="shared" si="13"/>
        <v>63.212107769748243</v>
      </c>
      <c r="Q42" s="52">
        <f t="shared" si="14"/>
        <v>83.631770709542266</v>
      </c>
      <c r="R42" s="52">
        <f t="shared" si="15"/>
        <v>80.448703392638777</v>
      </c>
      <c r="S42" s="52">
        <f t="shared" si="16"/>
        <v>78.170703096145047</v>
      </c>
    </row>
    <row r="43" spans="1:19" x14ac:dyDescent="0.3">
      <c r="A43" s="25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22" t="s">
        <v>21</v>
      </c>
      <c r="H43" s="22">
        <v>14.5</v>
      </c>
      <c r="I43" s="22">
        <v>11.2</v>
      </c>
      <c r="J43" s="21">
        <v>0.73195876288659789</v>
      </c>
      <c r="K43" s="53">
        <f t="shared" si="9"/>
        <v>46.9660328480659</v>
      </c>
      <c r="L43" s="53">
        <f t="shared" si="10"/>
        <v>57.440636399999995</v>
      </c>
      <c r="M43" s="53">
        <f t="shared" si="11"/>
        <v>38.835484820700586</v>
      </c>
      <c r="N43" s="52">
        <f t="shared" si="17"/>
        <v>87.246067895806874</v>
      </c>
      <c r="O43" s="52">
        <f t="shared" si="12"/>
        <v>96.350162061855656</v>
      </c>
      <c r="P43" s="52">
        <f t="shared" si="13"/>
        <v>97.002098660440055</v>
      </c>
      <c r="Q43" s="52">
        <f t="shared" si="14"/>
        <v>124.31352956330909</v>
      </c>
      <c r="R43" s="52">
        <f t="shared" si="15"/>
        <v>119.33320520611613</v>
      </c>
      <c r="S43" s="52">
        <f t="shared" si="16"/>
        <v>115.91977590241227</v>
      </c>
    </row>
    <row r="44" spans="1:19" x14ac:dyDescent="0.3">
      <c r="A44" s="25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22" t="s">
        <v>21</v>
      </c>
      <c r="H44" s="22">
        <v>12.9</v>
      </c>
      <c r="I44" s="22">
        <v>17</v>
      </c>
      <c r="J44" s="21">
        <v>0.6785714285714286</v>
      </c>
      <c r="K44" s="53">
        <f t="shared" si="9"/>
        <v>42.119596727585318</v>
      </c>
      <c r="L44" s="53">
        <f t="shared" si="10"/>
        <v>69.007065209999993</v>
      </c>
      <c r="M44" s="53">
        <f t="shared" si="11"/>
        <v>38.247020812811009</v>
      </c>
      <c r="N44" s="52">
        <f t="shared" si="17"/>
        <v>145.75417804492005</v>
      </c>
      <c r="O44" s="52">
        <f t="shared" si="12"/>
        <v>107.30889417857144</v>
      </c>
      <c r="P44" s="52">
        <f t="shared" si="13"/>
        <v>107.75603481641892</v>
      </c>
      <c r="Q44" s="52">
        <f t="shared" si="14"/>
        <v>103.17418609997182</v>
      </c>
      <c r="R44" s="52">
        <f t="shared" si="15"/>
        <v>83.793179307271203</v>
      </c>
      <c r="S44" s="52">
        <f t="shared" si="16"/>
        <v>81.712785857444686</v>
      </c>
    </row>
    <row r="45" spans="1:19" x14ac:dyDescent="0.3">
      <c r="A45" s="25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22" t="s">
        <v>21</v>
      </c>
      <c r="H45" s="22">
        <v>17</v>
      </c>
      <c r="I45" s="22">
        <v>15.3</v>
      </c>
      <c r="J45" s="21">
        <v>0.70670391061452509</v>
      </c>
      <c r="K45" s="53">
        <f t="shared" si="9"/>
        <v>79.06057387607143</v>
      </c>
      <c r="L45" s="53">
        <f t="shared" si="10"/>
        <v>107.8585281</v>
      </c>
      <c r="M45" s="53">
        <f t="shared" si="11"/>
        <v>68.625843974491588</v>
      </c>
      <c r="N45" s="52">
        <f t="shared" si="17"/>
        <v>161.43154858344235</v>
      </c>
      <c r="O45" s="52">
        <f t="shared" si="12"/>
        <v>174.67814689944134</v>
      </c>
      <c r="P45" s="52">
        <f t="shared" si="13"/>
        <v>173.36682268688386</v>
      </c>
      <c r="Q45" s="52">
        <f t="shared" si="14"/>
        <v>186.17304126747507</v>
      </c>
      <c r="R45" s="52">
        <f t="shared" si="15"/>
        <v>164.8693483076996</v>
      </c>
      <c r="S45" s="52">
        <f t="shared" si="16"/>
        <v>160.57183880415741</v>
      </c>
    </row>
    <row r="46" spans="1:19" x14ac:dyDescent="0.3">
      <c r="A46" s="25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22" t="s">
        <v>21</v>
      </c>
      <c r="H46" s="22">
        <v>23.5</v>
      </c>
      <c r="I46" s="22">
        <v>16.600000000000001</v>
      </c>
      <c r="J46" s="21">
        <v>0.68503937007874016</v>
      </c>
      <c r="K46" s="53">
        <f t="shared" si="9"/>
        <v>180.52803799623268</v>
      </c>
      <c r="L46" s="53">
        <f t="shared" si="10"/>
        <v>223.61916855000001</v>
      </c>
      <c r="M46" s="53">
        <f t="shared" si="11"/>
        <v>154.85149999135882</v>
      </c>
      <c r="N46" s="52">
        <f t="shared" si="17"/>
        <v>247.22096916355756</v>
      </c>
      <c r="O46" s="52">
        <f t="shared" si="12"/>
        <v>351.05175791338587</v>
      </c>
      <c r="P46" s="52">
        <f t="shared" si="13"/>
        <v>342.62842052046557</v>
      </c>
      <c r="Q46" s="52">
        <f t="shared" si="14"/>
        <v>366.52302989704026</v>
      </c>
      <c r="R46" s="52">
        <f t="shared" si="15"/>
        <v>333.34832118631141</v>
      </c>
      <c r="S46" s="52">
        <f t="shared" si="16"/>
        <v>325.6373319832519</v>
      </c>
    </row>
    <row r="47" spans="1:19" x14ac:dyDescent="0.3">
      <c r="A47" s="25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22" t="s">
        <v>21</v>
      </c>
      <c r="H47" s="22">
        <v>20.2</v>
      </c>
      <c r="I47" s="22">
        <v>16.2</v>
      </c>
      <c r="J47" s="21">
        <v>0.69020501138952162</v>
      </c>
      <c r="K47" s="53">
        <f t="shared" si="9"/>
        <v>123.44929896716387</v>
      </c>
      <c r="L47" s="53">
        <f t="shared" si="10"/>
        <v>161.24377946399997</v>
      </c>
      <c r="M47" s="53">
        <f t="shared" si="11"/>
        <v>106.77293861298487</v>
      </c>
      <c r="N47" s="52">
        <f t="shared" si="17"/>
        <v>206.76636269391966</v>
      </c>
      <c r="O47" s="52">
        <f t="shared" si="12"/>
        <v>255.03962995353069</v>
      </c>
      <c r="P47" s="52">
        <f t="shared" si="13"/>
        <v>250.83620713645789</v>
      </c>
      <c r="Q47" s="52">
        <f t="shared" si="14"/>
        <v>266.28801370515157</v>
      </c>
      <c r="R47" s="52">
        <f t="shared" si="15"/>
        <v>237.96596577153596</v>
      </c>
      <c r="S47" s="52">
        <f t="shared" si="16"/>
        <v>232.2280887061859</v>
      </c>
    </row>
    <row r="48" spans="1:19" x14ac:dyDescent="0.3">
      <c r="A48" s="25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22" t="s">
        <v>57</v>
      </c>
      <c r="H48" s="22">
        <v>13.8</v>
      </c>
      <c r="I48" s="22">
        <v>12.1</v>
      </c>
      <c r="J48" s="21">
        <v>0.31835205992509363</v>
      </c>
      <c r="K48" s="53">
        <f t="shared" si="9"/>
        <v>43.002925492778104</v>
      </c>
      <c r="L48" s="53">
        <f t="shared" si="10"/>
        <v>56.209375332000008</v>
      </c>
      <c r="M48" s="53">
        <f t="shared" si="11"/>
        <v>36.26830976686135</v>
      </c>
      <c r="N48" s="52">
        <f t="shared" si="17"/>
        <v>93.468464691857704</v>
      </c>
      <c r="O48" s="52">
        <f t="shared" si="12"/>
        <v>41.007473730337082</v>
      </c>
      <c r="P48" s="52">
        <f t="shared" si="13"/>
        <v>42.140088438094011</v>
      </c>
      <c r="Q48" s="52">
        <f t="shared" si="14"/>
        <v>46.899601634965528</v>
      </c>
      <c r="R48" s="52">
        <f t="shared" si="15"/>
        <v>41.182907571165913</v>
      </c>
      <c r="S48" s="52">
        <f t="shared" si="16"/>
        <v>41.944761815942265</v>
      </c>
    </row>
    <row r="49" spans="1:19" x14ac:dyDescent="0.3">
      <c r="A49" s="25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22" t="s">
        <v>57</v>
      </c>
      <c r="H49" s="22">
        <v>17.2</v>
      </c>
      <c r="I49" s="22">
        <v>13.7</v>
      </c>
      <c r="J49" s="21">
        <v>0.31879194630872482</v>
      </c>
      <c r="K49" s="53">
        <f t="shared" si="9"/>
        <v>77.633738041434995</v>
      </c>
      <c r="L49" s="53">
        <f t="shared" si="10"/>
        <v>98.865024143999989</v>
      </c>
      <c r="M49" s="53">
        <f t="shared" si="11"/>
        <v>65.847807327151841</v>
      </c>
      <c r="N49" s="52">
        <f t="shared" si="17"/>
        <v>138.39907622445651</v>
      </c>
      <c r="O49" s="52">
        <f t="shared" si="12"/>
        <v>72.226506657718105</v>
      </c>
      <c r="P49" s="52">
        <f t="shared" si="13"/>
        <v>73.219883097835918</v>
      </c>
      <c r="Q49" s="52">
        <f t="shared" si="14"/>
        <v>77.978185173516053</v>
      </c>
      <c r="R49" s="52">
        <f t="shared" si="15"/>
        <v>68.215672566693783</v>
      </c>
      <c r="S49" s="52">
        <f t="shared" si="16"/>
        <v>69.530302497604879</v>
      </c>
    </row>
    <row r="50" spans="1:19" x14ac:dyDescent="0.3">
      <c r="A50" s="25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22" t="s">
        <v>57</v>
      </c>
      <c r="H50" s="22">
        <v>10.9</v>
      </c>
      <c r="I50" s="22">
        <v>9.6999999999999993</v>
      </c>
      <c r="J50" s="21">
        <v>0.37037037037037035</v>
      </c>
      <c r="K50" s="53">
        <f t="shared" si="9"/>
        <v>22.003830290027128</v>
      </c>
      <c r="L50" s="53">
        <f t="shared" si="10"/>
        <v>28.111883600999999</v>
      </c>
      <c r="M50" s="53">
        <f t="shared" si="11"/>
        <v>18.123501887929706</v>
      </c>
      <c r="N50" s="52">
        <f t="shared" si="17"/>
        <v>53.823031034736417</v>
      </c>
      <c r="O50" s="52">
        <f t="shared" si="12"/>
        <v>23.860128259259252</v>
      </c>
      <c r="P50" s="52">
        <f t="shared" si="13"/>
        <v>24.839895647112268</v>
      </c>
      <c r="Q50" s="52">
        <f t="shared" si="14"/>
        <v>31.127140603422095</v>
      </c>
      <c r="R50" s="52">
        <f t="shared" si="15"/>
        <v>28.560342029307584</v>
      </c>
      <c r="S50" s="52">
        <f t="shared" si="16"/>
        <v>28.812550920286302</v>
      </c>
    </row>
    <row r="51" spans="1:19" x14ac:dyDescent="0.3">
      <c r="A51" s="25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22" t="s">
        <v>57</v>
      </c>
      <c r="H51" s="22">
        <v>19.899999999999999</v>
      </c>
      <c r="I51" s="22">
        <v>14.3</v>
      </c>
      <c r="J51" s="21">
        <v>0.3423180592991914</v>
      </c>
      <c r="K51" s="53">
        <f t="shared" si="9"/>
        <v>112.89134874571656</v>
      </c>
      <c r="L51" s="53">
        <f t="shared" si="10"/>
        <v>138.136168599</v>
      </c>
      <c r="M51" s="53">
        <f t="shared" si="11"/>
        <v>95.359168078741632</v>
      </c>
      <c r="N51" s="52">
        <f t="shared" si="17"/>
        <v>169.22672440316123</v>
      </c>
      <c r="O51" s="52">
        <f t="shared" si="12"/>
        <v>108.36369606442048</v>
      </c>
      <c r="P51" s="52">
        <f t="shared" si="13"/>
        <v>108.78968964689754</v>
      </c>
      <c r="Q51" s="52">
        <f t="shared" si="14"/>
        <v>116.2039395827758</v>
      </c>
      <c r="R51" s="52">
        <f t="shared" si="15"/>
        <v>103.23972456726742</v>
      </c>
      <c r="S51" s="52">
        <f t="shared" si="16"/>
        <v>104.86045823221536</v>
      </c>
    </row>
    <row r="52" spans="1:19" x14ac:dyDescent="0.3">
      <c r="A52" s="25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22" t="s">
        <v>57</v>
      </c>
      <c r="H52" s="22">
        <v>21.1</v>
      </c>
      <c r="I52" s="22">
        <v>9.6999999999999993</v>
      </c>
      <c r="J52" s="21">
        <v>0.38653366583541149</v>
      </c>
      <c r="K52" s="53">
        <f t="shared" si="9"/>
        <v>110.50692931688381</v>
      </c>
      <c r="L52" s="53">
        <f t="shared" si="10"/>
        <v>105.34207304100001</v>
      </c>
      <c r="M52" s="53">
        <f t="shared" si="11"/>
        <v>85.933562742428506</v>
      </c>
      <c r="N52" s="52">
        <f t="shared" si="17"/>
        <v>100.15540479617648</v>
      </c>
      <c r="O52" s="52">
        <f t="shared" si="12"/>
        <v>93.311630514962602</v>
      </c>
      <c r="P52" s="52">
        <f t="shared" si="13"/>
        <v>94.015283361740316</v>
      </c>
      <c r="Q52" s="52">
        <f t="shared" si="14"/>
        <v>131.33631326442898</v>
      </c>
      <c r="R52" s="52">
        <f t="shared" si="15"/>
        <v>135.57730021865962</v>
      </c>
      <c r="S52" s="52">
        <f t="shared" si="16"/>
        <v>136.78424355353144</v>
      </c>
    </row>
    <row r="53" spans="1:19" x14ac:dyDescent="0.3">
      <c r="A53" s="25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22" t="s">
        <v>57</v>
      </c>
      <c r="H53" s="22">
        <v>17.7</v>
      </c>
      <c r="I53" s="22">
        <v>9</v>
      </c>
      <c r="J53" s="21">
        <v>0.39117647058823529</v>
      </c>
      <c r="K53" s="53">
        <f t="shared" si="9"/>
        <v>69.688248904067009</v>
      </c>
      <c r="L53" s="53">
        <f t="shared" si="10"/>
        <v>68.778746729999995</v>
      </c>
      <c r="M53" s="53">
        <f t="shared" si="11"/>
        <v>54.208733602971421</v>
      </c>
      <c r="N53" s="52">
        <f t="shared" si="17"/>
        <v>75.919625503958201</v>
      </c>
      <c r="O53" s="52">
        <f t="shared" si="12"/>
        <v>61.655748432352929</v>
      </c>
      <c r="P53" s="52">
        <f t="shared" si="13"/>
        <v>62.741565081542355</v>
      </c>
      <c r="Q53" s="52">
        <f t="shared" si="14"/>
        <v>89.515279084309725</v>
      </c>
      <c r="R53" s="52">
        <f t="shared" si="15"/>
        <v>92.003378499698997</v>
      </c>
      <c r="S53" s="52">
        <f t="shared" si="16"/>
        <v>92.697240528956769</v>
      </c>
    </row>
    <row r="54" spans="1:19" x14ac:dyDescent="0.3">
      <c r="A54" s="25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22" t="s">
        <v>60</v>
      </c>
      <c r="H54" s="22">
        <v>10.8</v>
      </c>
      <c r="I54" s="22">
        <v>6.5</v>
      </c>
      <c r="J54" s="21">
        <v>0.59210526315789469</v>
      </c>
      <c r="K54" s="53">
        <f t="shared" si="9"/>
        <v>18.158141890477101</v>
      </c>
      <c r="L54" s="53">
        <f t="shared" si="10"/>
        <v>18.493796880000001</v>
      </c>
      <c r="M54" s="53">
        <f t="shared" si="11"/>
        <v>13.816241282813392</v>
      </c>
      <c r="N54" s="52">
        <f t="shared" si="17"/>
        <v>29.349172169772711</v>
      </c>
      <c r="O54" s="52">
        <f t="shared" si="12"/>
        <v>25.094098421052635</v>
      </c>
      <c r="P54" s="52">
        <f t="shared" si="13"/>
        <v>26.092940166729182</v>
      </c>
      <c r="Q54" s="52">
        <f t="shared" si="14"/>
        <v>44.160502331098371</v>
      </c>
      <c r="R54" s="52">
        <f t="shared" si="15"/>
        <v>47.790074008403515</v>
      </c>
      <c r="S54" s="52">
        <f t="shared" si="16"/>
        <v>46.935986409983876</v>
      </c>
    </row>
    <row r="55" spans="1:19" x14ac:dyDescent="0.3">
      <c r="A55" s="25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22" t="s">
        <v>60</v>
      </c>
      <c r="H55" s="29">
        <f>SQRT(19.2^2+19.6^2)</f>
        <v>27.437201023428027</v>
      </c>
      <c r="I55" s="22">
        <v>9.1</v>
      </c>
      <c r="J55" s="21">
        <v>0.59826589595375723</v>
      </c>
      <c r="K55" s="53">
        <f t="shared" si="9"/>
        <v>204.32692217667994</v>
      </c>
      <c r="L55" s="53">
        <f t="shared" si="10"/>
        <v>167.10375864</v>
      </c>
      <c r="M55" s="53">
        <f t="shared" si="11"/>
        <v>153.32886477524974</v>
      </c>
      <c r="N55" s="52">
        <f t="shared" si="17"/>
        <v>116.54812705121343</v>
      </c>
      <c r="O55" s="52">
        <f t="shared" si="12"/>
        <v>229.10103821965313</v>
      </c>
      <c r="P55" s="52">
        <f t="shared" si="13"/>
        <v>225.90588651477634</v>
      </c>
      <c r="Q55" s="52">
        <f t="shared" si="14"/>
        <v>358.04026274085197</v>
      </c>
      <c r="R55" s="52">
        <f t="shared" si="15"/>
        <v>406.8001034838511</v>
      </c>
      <c r="S55" s="52">
        <f t="shared" si="16"/>
        <v>400.71103186179079</v>
      </c>
    </row>
    <row r="56" spans="1:19" x14ac:dyDescent="0.3">
      <c r="A56" s="25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22" t="s">
        <v>60</v>
      </c>
      <c r="H56" s="22">
        <v>24.3</v>
      </c>
      <c r="I56" s="22">
        <v>10.1</v>
      </c>
      <c r="J56" s="21">
        <v>0.57894736842105265</v>
      </c>
      <c r="K56" s="53">
        <f t="shared" si="9"/>
        <v>158.73017425291636</v>
      </c>
      <c r="L56" s="53">
        <f t="shared" si="10"/>
        <v>145.47860795700001</v>
      </c>
      <c r="M56" s="53">
        <f t="shared" si="11"/>
        <v>122.91496474508597</v>
      </c>
      <c r="N56" s="52">
        <f t="shared" si="17"/>
        <v>121.48913357677657</v>
      </c>
      <c r="O56" s="52">
        <f t="shared" si="12"/>
        <v>193.0122231631579</v>
      </c>
      <c r="P56" s="52">
        <f t="shared" si="13"/>
        <v>191.10494163438921</v>
      </c>
      <c r="Q56" s="52">
        <f t="shared" si="14"/>
        <v>277.14464986903852</v>
      </c>
      <c r="R56" s="52">
        <f t="shared" si="15"/>
        <v>296.92468251554982</v>
      </c>
      <c r="S56" s="52">
        <f t="shared" si="16"/>
        <v>292.89376549939578</v>
      </c>
    </row>
    <row r="57" spans="1:19" x14ac:dyDescent="0.3">
      <c r="A57" s="25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22" t="s">
        <v>60</v>
      </c>
      <c r="H57" s="22">
        <v>16.2</v>
      </c>
      <c r="I57" s="22">
        <v>7.2</v>
      </c>
      <c r="J57" s="21">
        <v>0.56907894736842102</v>
      </c>
      <c r="K57" s="53">
        <f t="shared" si="9"/>
        <v>51.067085937229116</v>
      </c>
      <c r="L57" s="53">
        <f t="shared" si="10"/>
        <v>46.092232224</v>
      </c>
      <c r="M57" s="53">
        <f t="shared" si="11"/>
        <v>38.283829448158883</v>
      </c>
      <c r="N57" s="52">
        <f t="shared" si="17"/>
        <v>50.059561221684163</v>
      </c>
      <c r="O57" s="52">
        <f t="shared" si="12"/>
        <v>60.110017294736842</v>
      </c>
      <c r="P57" s="52">
        <f t="shared" si="13"/>
        <v>61.205897152228495</v>
      </c>
      <c r="Q57" s="52">
        <f t="shared" si="14"/>
        <v>103.07093936171739</v>
      </c>
      <c r="R57" s="52">
        <f t="shared" si="15"/>
        <v>115.31640196263254</v>
      </c>
      <c r="S57" s="52">
        <f t="shared" si="16"/>
        <v>113.68733969702214</v>
      </c>
    </row>
    <row r="58" spans="1:19" x14ac:dyDescent="0.3">
      <c r="A58" s="25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22" t="s">
        <v>60</v>
      </c>
      <c r="H58" s="29">
        <f>SQRT(6.7^2+13^2)</f>
        <v>14.624978632463023</v>
      </c>
      <c r="I58" s="22">
        <v>7.9</v>
      </c>
      <c r="J58" s="21">
        <v>0.6045454545454545</v>
      </c>
      <c r="K58" s="53">
        <f t="shared" si="9"/>
        <v>41.369152616944206</v>
      </c>
      <c r="L58" s="53">
        <f t="shared" si="10"/>
        <v>41.217608283000004</v>
      </c>
      <c r="M58" s="53">
        <f t="shared" si="11"/>
        <v>31.876969078057755</v>
      </c>
      <c r="N58" s="52">
        <f t="shared" si="17"/>
        <v>52.226583023889077</v>
      </c>
      <c r="O58" s="52">
        <f t="shared" si="12"/>
        <v>57.102923025909085</v>
      </c>
      <c r="P58" s="52">
        <f t="shared" si="13"/>
        <v>58.215640413163335</v>
      </c>
      <c r="Q58" s="52">
        <f t="shared" si="14"/>
        <v>91.493208785298734</v>
      </c>
      <c r="R58" s="52">
        <f t="shared" si="15"/>
        <v>97.817129868197327</v>
      </c>
      <c r="S58" s="52">
        <f t="shared" si="16"/>
        <v>96.065599760983474</v>
      </c>
    </row>
    <row r="59" spans="1:19" x14ac:dyDescent="0.3">
      <c r="A59" s="25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22" t="s">
        <v>21</v>
      </c>
      <c r="H59" s="22">
        <v>10.6</v>
      </c>
      <c r="I59" s="22">
        <v>9.8000000000000007</v>
      </c>
      <c r="J59" s="21">
        <v>0.6863636363636364</v>
      </c>
      <c r="K59" s="53">
        <f t="shared" si="9"/>
        <v>20.642872684543146</v>
      </c>
      <c r="L59" s="53">
        <f t="shared" si="10"/>
        <v>26.859815304000005</v>
      </c>
      <c r="M59" s="53">
        <f t="shared" si="11"/>
        <v>17.078903137102643</v>
      </c>
      <c r="N59" s="52">
        <f t="shared" si="17"/>
        <v>53.238212471285358</v>
      </c>
      <c r="O59" s="52">
        <f t="shared" si="12"/>
        <v>42.247778796363647</v>
      </c>
      <c r="P59" s="52">
        <f t="shared" si="13"/>
        <v>43.383613980599669</v>
      </c>
      <c r="Q59" s="52">
        <f t="shared" si="14"/>
        <v>57.230413997377696</v>
      </c>
      <c r="R59" s="52">
        <f t="shared" si="15"/>
        <v>54.208406087823832</v>
      </c>
      <c r="S59" s="52">
        <f t="shared" si="16"/>
        <v>52.788675561673543</v>
      </c>
    </row>
    <row r="60" spans="1:19" x14ac:dyDescent="0.3">
      <c r="A60" s="25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22" t="s">
        <v>21</v>
      </c>
      <c r="H60" s="22">
        <v>31.8</v>
      </c>
      <c r="I60" s="22">
        <v>12.6</v>
      </c>
      <c r="J60" s="21">
        <v>0.62278481012658227</v>
      </c>
      <c r="K60" s="53">
        <f t="shared" si="9"/>
        <v>336.34194402604152</v>
      </c>
      <c r="L60" s="53">
        <f t="shared" si="10"/>
        <v>310.80643423200002</v>
      </c>
      <c r="M60" s="53">
        <f t="shared" si="11"/>
        <v>265.9304980493032</v>
      </c>
      <c r="N60" s="52">
        <f t="shared" si="17"/>
        <v>217.66906133001171</v>
      </c>
      <c r="O60" s="52">
        <f t="shared" si="12"/>
        <v>443.58270449012656</v>
      </c>
      <c r="P60" s="52">
        <f t="shared" si="13"/>
        <v>430.51506535806618</v>
      </c>
      <c r="Q60" s="52">
        <f t="shared" si="14"/>
        <v>570.15763977128711</v>
      </c>
      <c r="R60" s="52">
        <f t="shared" si="15"/>
        <v>596.6117782791431</v>
      </c>
      <c r="S60" s="52">
        <f t="shared" si="16"/>
        <v>586.66416350348584</v>
      </c>
    </row>
    <row r="61" spans="1:19" x14ac:dyDescent="0.3">
      <c r="A61" s="25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22" t="s">
        <v>21</v>
      </c>
      <c r="H61" s="22">
        <v>30.5</v>
      </c>
      <c r="I61" s="22">
        <v>13.2</v>
      </c>
      <c r="J61" s="21">
        <v>0.72512647554806076</v>
      </c>
      <c r="K61" s="53">
        <f t="shared" si="9"/>
        <v>309.77604084621089</v>
      </c>
      <c r="L61" s="53">
        <f t="shared" si="10"/>
        <v>299.52896490000001</v>
      </c>
      <c r="M61" s="53">
        <f t="shared" si="11"/>
        <v>248.11545841210679</v>
      </c>
      <c r="N61" s="52">
        <f t="shared" si="17"/>
        <v>224.34751919658433</v>
      </c>
      <c r="O61" s="52">
        <f t="shared" si="12"/>
        <v>497.73614519392913</v>
      </c>
      <c r="P61" s="52">
        <f t="shared" si="13"/>
        <v>481.73959080859117</v>
      </c>
      <c r="Q61" s="52">
        <f t="shared" si="14"/>
        <v>624.85481485633954</v>
      </c>
      <c r="R61" s="52">
        <f t="shared" si="15"/>
        <v>645.28356410513345</v>
      </c>
      <c r="S61" s="52">
        <f t="shared" si="16"/>
        <v>628.93611189077774</v>
      </c>
    </row>
    <row r="62" spans="1:19" x14ac:dyDescent="0.3">
      <c r="A62" s="25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22" t="s">
        <v>21</v>
      </c>
      <c r="H62" s="22">
        <v>10.199999999999999</v>
      </c>
      <c r="I62" s="22">
        <v>9.1999999999999993</v>
      </c>
      <c r="J62" s="21">
        <v>0.67123287671232879</v>
      </c>
      <c r="K62" s="53">
        <f t="shared" si="9"/>
        <v>18.294868016086973</v>
      </c>
      <c r="L62" s="53">
        <f t="shared" si="10"/>
        <v>23.348199023999999</v>
      </c>
      <c r="M62" s="53">
        <f t="shared" si="11"/>
        <v>14.996342721767247</v>
      </c>
      <c r="N62" s="52">
        <f t="shared" si="17"/>
        <v>46.724555049537784</v>
      </c>
      <c r="O62" s="52">
        <f t="shared" si="12"/>
        <v>35.914779024657527</v>
      </c>
      <c r="P62" s="52">
        <f t="shared" si="13"/>
        <v>37.024378886917354</v>
      </c>
      <c r="Q62" s="52">
        <f t="shared" si="14"/>
        <v>50.422268728165783</v>
      </c>
      <c r="R62" s="52">
        <f t="shared" si="15"/>
        <v>48.400602666076431</v>
      </c>
      <c r="S62" s="52">
        <f t="shared" si="16"/>
        <v>47.186113029646741</v>
      </c>
    </row>
    <row r="63" spans="1:19" x14ac:dyDescent="0.3">
      <c r="A63" s="25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22" t="s">
        <v>21</v>
      </c>
      <c r="H63" s="29">
        <f>SQRT(16.2^2+14.1^2+11.9^2)</f>
        <v>24.553207529770933</v>
      </c>
      <c r="I63" s="22">
        <v>12.1</v>
      </c>
      <c r="J63" s="21">
        <v>0.69767441860465118</v>
      </c>
      <c r="K63" s="53">
        <f t="shared" si="9"/>
        <v>175.75063074369351</v>
      </c>
      <c r="L63" s="53">
        <f t="shared" si="10"/>
        <v>177.937324158</v>
      </c>
      <c r="M63" s="53">
        <f t="shared" si="11"/>
        <v>140.97561890670761</v>
      </c>
      <c r="N63" s="52">
        <f t="shared" si="17"/>
        <v>160.66980897900768</v>
      </c>
      <c r="O63" s="52">
        <f t="shared" si="12"/>
        <v>284.48963400000002</v>
      </c>
      <c r="P63" s="52">
        <f t="shared" si="13"/>
        <v>279.06796892180103</v>
      </c>
      <c r="Q63" s="52">
        <f t="shared" si="14"/>
        <v>368.24356530795887</v>
      </c>
      <c r="R63" s="52">
        <f t="shared" si="15"/>
        <v>376.23175111958119</v>
      </c>
      <c r="S63" s="52">
        <f t="shared" si="16"/>
        <v>367.2066139707843</v>
      </c>
    </row>
    <row r="64" spans="1:19" x14ac:dyDescent="0.3">
      <c r="A64" s="25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22" t="s">
        <v>63</v>
      </c>
      <c r="H64" s="22">
        <v>10.7</v>
      </c>
      <c r="I64" s="22">
        <v>5.3</v>
      </c>
      <c r="J64" s="21">
        <v>0.21111111111111111</v>
      </c>
      <c r="K64" s="53">
        <f t="shared" si="9"/>
        <v>16.279958168493696</v>
      </c>
      <c r="L64" s="53">
        <f t="shared" si="10"/>
        <v>14.801599220999998</v>
      </c>
      <c r="M64" s="53">
        <f t="shared" si="11"/>
        <v>11.901313714584294</v>
      </c>
      <c r="N64" s="52">
        <f t="shared" si="17"/>
        <v>21.450731875164582</v>
      </c>
      <c r="O64" s="52">
        <f t="shared" si="12"/>
        <v>7.1608788188888877</v>
      </c>
      <c r="P64" s="52">
        <f t="shared" si="13"/>
        <v>7.6734076781414435</v>
      </c>
      <c r="Q64" s="52">
        <f t="shared" si="14"/>
        <v>13.304474125928181</v>
      </c>
      <c r="R64" s="52">
        <f t="shared" si="15"/>
        <v>14.407110765812112</v>
      </c>
      <c r="S64" s="52">
        <f t="shared" si="16"/>
        <v>15.007355995051871</v>
      </c>
    </row>
    <row r="65" spans="1:19" x14ac:dyDescent="0.3">
      <c r="A65" s="25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22" t="s">
        <v>63</v>
      </c>
      <c r="H65" s="22">
        <v>11.1</v>
      </c>
      <c r="I65" s="22">
        <v>6.6</v>
      </c>
      <c r="J65" s="21">
        <v>0.26605504587155965</v>
      </c>
      <c r="K65" s="53">
        <f t="shared" si="9"/>
        <v>19.541332326060864</v>
      </c>
      <c r="L65" s="53">
        <f t="shared" si="10"/>
        <v>19.836046098000001</v>
      </c>
      <c r="M65" s="53">
        <f t="shared" si="11"/>
        <v>14.878633771278691</v>
      </c>
      <c r="N65" s="52">
        <f t="shared" si="17"/>
        <v>30.809496266830092</v>
      </c>
      <c r="O65" s="52">
        <f t="shared" si="12"/>
        <v>12.094090133944954</v>
      </c>
      <c r="P65" s="52">
        <f t="shared" si="13"/>
        <v>12.797719405074604</v>
      </c>
      <c r="Q65" s="52">
        <f t="shared" si="14"/>
        <v>19.870849309509811</v>
      </c>
      <c r="R65" s="52">
        <f t="shared" si="15"/>
        <v>20.404269487479063</v>
      </c>
      <c r="S65" s="52">
        <f t="shared" si="16"/>
        <v>20.978412465299677</v>
      </c>
    </row>
    <row r="66" spans="1:19" x14ac:dyDescent="0.3">
      <c r="A66" s="25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22" t="s">
        <v>63</v>
      </c>
      <c r="H66" s="22">
        <v>10.4</v>
      </c>
      <c r="I66" s="22">
        <v>7.3</v>
      </c>
      <c r="J66" s="21">
        <v>0.19277108433734941</v>
      </c>
      <c r="K66" s="53">
        <f t="shared" si="9"/>
        <v>17.393114268455061</v>
      </c>
      <c r="L66" s="53">
        <f t="shared" si="10"/>
        <v>19.259932224000003</v>
      </c>
      <c r="M66" s="53">
        <f t="shared" si="11"/>
        <v>13.589551653425577</v>
      </c>
      <c r="N66" s="52">
        <f t="shared" ref="N66:N97" si="18">10^(-0.717903255+0.940214879*LOG10(H66)+1.345432588*LOG10(I66)*1.109844005)</f>
        <v>33.68665092677378</v>
      </c>
      <c r="O66" s="52">
        <f t="shared" si="12"/>
        <v>8.5083086650602429</v>
      </c>
      <c r="P66" s="52">
        <f t="shared" si="13"/>
        <v>9.079629744672193</v>
      </c>
      <c r="Q66" s="52">
        <f t="shared" si="14"/>
        <v>12.667938179325953</v>
      </c>
      <c r="R66" s="52">
        <f t="shared" si="15"/>
        <v>12.169934731343536</v>
      </c>
      <c r="S66" s="52">
        <f t="shared" si="16"/>
        <v>12.741551042795951</v>
      </c>
    </row>
    <row r="67" spans="1:19" x14ac:dyDescent="0.3">
      <c r="A67" s="25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22" t="s">
        <v>63</v>
      </c>
      <c r="H67" s="22">
        <v>16.2</v>
      </c>
      <c r="I67" s="22">
        <v>7.5</v>
      </c>
      <c r="J67" s="21">
        <v>0.22222222222222221</v>
      </c>
      <c r="K67" s="53">
        <f t="shared" si="9"/>
        <v>51.957831525000344</v>
      </c>
      <c r="L67" s="53">
        <f t="shared" si="10"/>
        <v>48.012741900000002</v>
      </c>
      <c r="M67" s="53">
        <f t="shared" si="11"/>
        <v>39.270938490104911</v>
      </c>
      <c r="N67" s="52">
        <f t="shared" si="18"/>
        <v>53.205924423500988</v>
      </c>
      <c r="O67" s="52">
        <f t="shared" si="12"/>
        <v>24.450659999999999</v>
      </c>
      <c r="P67" s="52">
        <f t="shared" si="13"/>
        <v>25.439744910365835</v>
      </c>
      <c r="Q67" s="52">
        <f t="shared" si="14"/>
        <v>37.960623233819227</v>
      </c>
      <c r="R67" s="52">
        <f t="shared" si="15"/>
        <v>39.398032742449033</v>
      </c>
      <c r="S67" s="52">
        <f t="shared" si="16"/>
        <v>40.984000004186861</v>
      </c>
    </row>
    <row r="68" spans="1:19" x14ac:dyDescent="0.3">
      <c r="A68" s="25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22" t="s">
        <v>63</v>
      </c>
      <c r="H68" s="29">
        <f>SQRT(11.6^2+8.4^2)</f>
        <v>14.322011031974526</v>
      </c>
      <c r="I68" s="22">
        <v>6.4</v>
      </c>
      <c r="J68" s="21">
        <v>0.27160493827160492</v>
      </c>
      <c r="K68" s="53">
        <f t="shared" si="9"/>
        <v>35.952269993885672</v>
      </c>
      <c r="L68" s="53">
        <f t="shared" si="10"/>
        <v>32.02234982400001</v>
      </c>
      <c r="M68" s="53">
        <f t="shared" si="11"/>
        <v>26.608940032397935</v>
      </c>
      <c r="N68" s="52">
        <f t="shared" si="18"/>
        <v>37.393249368249954</v>
      </c>
      <c r="O68" s="52">
        <f t="shared" si="12"/>
        <v>19.93138378271605</v>
      </c>
      <c r="P68" s="52">
        <f t="shared" si="13"/>
        <v>20.839615056669487</v>
      </c>
      <c r="Q68" s="52">
        <f t="shared" si="14"/>
        <v>34.424385969569443</v>
      </c>
      <c r="R68" s="52">
        <f t="shared" si="15"/>
        <v>37.392017819248004</v>
      </c>
      <c r="S68" s="52">
        <f t="shared" si="16"/>
        <v>38.43608023173266</v>
      </c>
    </row>
    <row r="69" spans="1:19" x14ac:dyDescent="0.3">
      <c r="A69" s="25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22" t="s">
        <v>63</v>
      </c>
      <c r="H69" s="22">
        <v>12</v>
      </c>
      <c r="I69" s="22">
        <v>7.4</v>
      </c>
      <c r="J69" s="21">
        <v>0.21551724137931033</v>
      </c>
      <c r="K69" s="53">
        <f t="shared" si="9"/>
        <v>24.81588773521349</v>
      </c>
      <c r="L69" s="53">
        <f t="shared" si="10"/>
        <v>25.993180800000005</v>
      </c>
      <c r="M69" s="53">
        <f t="shared" si="11"/>
        <v>19.201250965770008</v>
      </c>
      <c r="N69" s="52">
        <f t="shared" si="18"/>
        <v>39.329049626841126</v>
      </c>
      <c r="O69" s="52">
        <f t="shared" si="12"/>
        <v>12.837724137931033</v>
      </c>
      <c r="P69" s="52">
        <f t="shared" si="13"/>
        <v>13.565177033906943</v>
      </c>
      <c r="Q69" s="52">
        <f t="shared" si="14"/>
        <v>19.409620761511157</v>
      </c>
      <c r="R69" s="52">
        <f t="shared" si="15"/>
        <v>19.16769848651321</v>
      </c>
      <c r="S69" s="52">
        <f t="shared" si="16"/>
        <v>19.951440122989045</v>
      </c>
    </row>
    <row r="70" spans="1:19" x14ac:dyDescent="0.3">
      <c r="A70" s="25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22" t="s">
        <v>65</v>
      </c>
      <c r="H70" s="22">
        <v>10.5</v>
      </c>
      <c r="I70" s="22">
        <v>4</v>
      </c>
      <c r="J70" s="21">
        <v>0.50270270270270268</v>
      </c>
      <c r="K70" s="53">
        <f t="shared" si="9"/>
        <v>13.799405149001611</v>
      </c>
      <c r="L70" s="53">
        <f t="shared" si="10"/>
        <v>10.757313</v>
      </c>
      <c r="M70" s="53">
        <f t="shared" si="11"/>
        <v>9.5514798354710742</v>
      </c>
      <c r="N70" s="52">
        <f t="shared" si="18"/>
        <v>13.843385541505667</v>
      </c>
      <c r="O70" s="52">
        <f t="shared" si="12"/>
        <v>12.392576756756757</v>
      </c>
      <c r="P70" s="52">
        <f t="shared" si="13"/>
        <v>13.105900860411417</v>
      </c>
      <c r="Q70" s="52">
        <f t="shared" si="14"/>
        <v>29.577924995251017</v>
      </c>
      <c r="R70" s="52">
        <f t="shared" si="15"/>
        <v>37.170850140107191</v>
      </c>
      <c r="S70" s="52">
        <f t="shared" si="16"/>
        <v>36.845406919619833</v>
      </c>
    </row>
    <row r="71" spans="1:19" x14ac:dyDescent="0.3">
      <c r="A71" s="25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22" t="s">
        <v>65</v>
      </c>
      <c r="H71" s="29">
        <f>SQRT(8.4^2+10.4^2+11.3^2)</f>
        <v>17.504570831642802</v>
      </c>
      <c r="I71" s="22">
        <v>6.8</v>
      </c>
      <c r="J71" s="21">
        <v>0.53237410071942448</v>
      </c>
      <c r="K71" s="53">
        <f t="shared" si="9"/>
        <v>60.229822802077976</v>
      </c>
      <c r="L71" s="53">
        <f t="shared" si="10"/>
        <v>50.824962083999999</v>
      </c>
      <c r="M71" s="53">
        <f t="shared" si="11"/>
        <v>44.339709949528675</v>
      </c>
      <c r="N71" s="52">
        <f t="shared" si="18"/>
        <v>49.436242415326468</v>
      </c>
      <c r="O71" s="52">
        <f t="shared" si="12"/>
        <v>62.006979286330932</v>
      </c>
      <c r="P71" s="52">
        <f t="shared" si="13"/>
        <v>63.090379653480802</v>
      </c>
      <c r="Q71" s="52">
        <f t="shared" si="14"/>
        <v>110.78576219853635</v>
      </c>
      <c r="R71" s="52">
        <f t="shared" si="15"/>
        <v>127.54201622130948</v>
      </c>
      <c r="S71" s="52">
        <f t="shared" si="16"/>
        <v>126.25700475247791</v>
      </c>
    </row>
    <row r="72" spans="1:19" x14ac:dyDescent="0.3">
      <c r="A72" s="25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22" t="s">
        <v>65</v>
      </c>
      <c r="H72" s="29">
        <f>SQRT(7.3^2+11.2^2)</f>
        <v>13.36899397860587</v>
      </c>
      <c r="I72" s="22">
        <v>7.5</v>
      </c>
      <c r="J72" s="21">
        <v>0.51583710407239824</v>
      </c>
      <c r="K72" s="53">
        <f t="shared" ref="K72:K135" si="19">(0.02453 *(H72^2.443356)*(I72^0.423602))</f>
        <v>32.496406025585827</v>
      </c>
      <c r="L72" s="53">
        <f t="shared" ref="L72:L135" si="20">0.024393*((H72^2)*I72)</f>
        <v>32.698206675000002</v>
      </c>
      <c r="M72" s="53">
        <f t="shared" ref="M72:M135" si="21">(0.01579*(H72^2.356307)*(I72^0.623614))</f>
        <v>24.97565573566532</v>
      </c>
      <c r="N72" s="52">
        <f t="shared" si="18"/>
        <v>44.415111751629418</v>
      </c>
      <c r="O72" s="52">
        <f t="shared" ref="O72:O135" si="22">((0.0559)*((J72*H72^2*I72)))</f>
        <v>38.652990882352938</v>
      </c>
      <c r="P72" s="52">
        <f t="shared" ref="P72:P135" si="23">((0.0673)*((J72*H72^2*I72)^0.976))</f>
        <v>39.776983897408016</v>
      </c>
      <c r="Q72" s="52">
        <f t="shared" ref="Q72:Q135" si="24">EXP((-1.305)+(1.055*LN((H72^2))+(0.34*LN(I72))+(1.077*LN(J72))))</f>
        <v>62.691822053851233</v>
      </c>
      <c r="R72" s="52">
        <f t="shared" ref="R72:R135" si="25">EXP(-0.97+(1.1421*LN(H72^2*J72)))</f>
        <v>66.470612594874027</v>
      </c>
      <c r="S72" s="52">
        <f t="shared" ref="S72:S135" si="26">EXP(-1.027+(1.144 *LN(H72^2))+(1.085*LN(J72)))</f>
        <v>65.852096021169885</v>
      </c>
    </row>
    <row r="73" spans="1:19" x14ac:dyDescent="0.3">
      <c r="A73" s="25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22" t="s">
        <v>65</v>
      </c>
      <c r="H73" s="29">
        <f>SQRT(5.7^2+6.5^2+4.7^2+6.7^2+10.1^2)</f>
        <v>15.611854470241516</v>
      </c>
      <c r="I73" s="22">
        <v>8</v>
      </c>
      <c r="J73" s="21">
        <v>0.52551020408163263</v>
      </c>
      <c r="K73" s="53">
        <f t="shared" si="19"/>
        <v>48.784568961924123</v>
      </c>
      <c r="L73" s="53">
        <f t="shared" si="20"/>
        <v>47.562447120000009</v>
      </c>
      <c r="M73" s="53">
        <f t="shared" si="21"/>
        <v>37.47199954567381</v>
      </c>
      <c r="N73" s="52">
        <f t="shared" si="18"/>
        <v>56.586484262219059</v>
      </c>
      <c r="O73" s="52">
        <f t="shared" si="22"/>
        <v>57.278539632653064</v>
      </c>
      <c r="P73" s="52">
        <f t="shared" si="23"/>
        <v>58.390375744348631</v>
      </c>
      <c r="Q73" s="52">
        <f t="shared" si="24"/>
        <v>90.68828346411658</v>
      </c>
      <c r="R73" s="52">
        <f t="shared" si="25"/>
        <v>96.760664800155652</v>
      </c>
      <c r="S73" s="52">
        <f t="shared" si="26"/>
        <v>95.815109729906268</v>
      </c>
    </row>
    <row r="74" spans="1:19" x14ac:dyDescent="0.3">
      <c r="A74" s="25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22" t="s">
        <v>65</v>
      </c>
      <c r="H74" s="29">
        <f>SQRT(8.5^2+6.1^2+6.5^2+6^2+12.1^2)</f>
        <v>18.278949641595929</v>
      </c>
      <c r="I74" s="22">
        <v>6.4</v>
      </c>
      <c r="J74" s="21">
        <v>0.51256281407035176</v>
      </c>
      <c r="K74" s="53">
        <f t="shared" si="19"/>
        <v>65.251894092452588</v>
      </c>
      <c r="L74" s="53">
        <f t="shared" si="20"/>
        <v>52.161210623999999</v>
      </c>
      <c r="M74" s="53">
        <f t="shared" si="21"/>
        <v>47.27938081010997</v>
      </c>
      <c r="N74" s="52">
        <f t="shared" si="18"/>
        <v>47.033399510648863</v>
      </c>
      <c r="O74" s="52">
        <f t="shared" si="22"/>
        <v>61.269078705527633</v>
      </c>
      <c r="P74" s="52">
        <f t="shared" si="23"/>
        <v>62.357500272211475</v>
      </c>
      <c r="Q74" s="52">
        <f t="shared" si="24"/>
        <v>114.14624325506537</v>
      </c>
      <c r="R74" s="52">
        <f t="shared" si="25"/>
        <v>134.8296863589386</v>
      </c>
      <c r="S74" s="52">
        <f t="shared" si="26"/>
        <v>133.78258840163491</v>
      </c>
    </row>
    <row r="75" spans="1:19" x14ac:dyDescent="0.3">
      <c r="A75" s="25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22" t="s">
        <v>65</v>
      </c>
      <c r="H75" s="22">
        <v>10.4</v>
      </c>
      <c r="I75" s="22">
        <v>5.5</v>
      </c>
      <c r="J75" s="21">
        <v>0.52606635071090047</v>
      </c>
      <c r="K75" s="53">
        <f t="shared" si="19"/>
        <v>15.427344441112673</v>
      </c>
      <c r="L75" s="53">
        <f t="shared" si="20"/>
        <v>14.510907840000003</v>
      </c>
      <c r="M75" s="53">
        <f t="shared" si="21"/>
        <v>11.390045130516548</v>
      </c>
      <c r="N75" s="52">
        <f t="shared" si="18"/>
        <v>22.07248418832577</v>
      </c>
      <c r="O75" s="52">
        <f t="shared" si="22"/>
        <v>17.493701004739339</v>
      </c>
      <c r="P75" s="52">
        <f t="shared" si="23"/>
        <v>18.348208998966758</v>
      </c>
      <c r="Q75" s="52">
        <f t="shared" si="24"/>
        <v>33.921106097264563</v>
      </c>
      <c r="R75" s="52">
        <f t="shared" si="25"/>
        <v>38.303837656576</v>
      </c>
      <c r="S75" s="52">
        <f t="shared" si="26"/>
        <v>37.868736532218946</v>
      </c>
    </row>
    <row r="76" spans="1:19" x14ac:dyDescent="0.3">
      <c r="A76" s="25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22" t="s">
        <v>21</v>
      </c>
      <c r="H76" s="22">
        <v>14.9</v>
      </c>
      <c r="I76" s="22">
        <v>7.9</v>
      </c>
      <c r="J76" s="21">
        <v>0.47868852459016392</v>
      </c>
      <c r="K76" s="53">
        <f t="shared" si="19"/>
        <v>43.295811826046453</v>
      </c>
      <c r="L76" s="53">
        <f t="shared" si="20"/>
        <v>42.782370447000005</v>
      </c>
      <c r="M76" s="53">
        <f t="shared" si="21"/>
        <v>33.307494701612193</v>
      </c>
      <c r="N76" s="52">
        <f t="shared" si="18"/>
        <v>53.149467496722004</v>
      </c>
      <c r="O76" s="52">
        <f t="shared" si="22"/>
        <v>46.93150187081968</v>
      </c>
      <c r="P76" s="52">
        <f t="shared" si="23"/>
        <v>48.071806769321661</v>
      </c>
      <c r="Q76" s="52">
        <f t="shared" si="24"/>
        <v>74.0080629255487</v>
      </c>
      <c r="R76" s="52">
        <f t="shared" si="25"/>
        <v>78.183476339148584</v>
      </c>
      <c r="S76" s="52">
        <f t="shared" si="26"/>
        <v>77.819291421848433</v>
      </c>
    </row>
    <row r="77" spans="1:19" x14ac:dyDescent="0.3">
      <c r="A77" s="25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22" t="s">
        <v>21</v>
      </c>
      <c r="H77" s="22">
        <v>16.399999999999999</v>
      </c>
      <c r="I77" s="22">
        <v>10</v>
      </c>
      <c r="J77" s="21">
        <v>0.49538461538461537</v>
      </c>
      <c r="K77" s="53">
        <f t="shared" si="19"/>
        <v>60.47773997265007</v>
      </c>
      <c r="L77" s="53">
        <f t="shared" si="20"/>
        <v>65.607412800000006</v>
      </c>
      <c r="M77" s="53">
        <f t="shared" si="21"/>
        <v>48.36611376508727</v>
      </c>
      <c r="N77" s="52">
        <f t="shared" si="18"/>
        <v>82.704910978562808</v>
      </c>
      <c r="O77" s="52">
        <f t="shared" si="22"/>
        <v>74.480403199999984</v>
      </c>
      <c r="P77" s="52">
        <f t="shared" si="23"/>
        <v>75.449115057899988</v>
      </c>
      <c r="Q77" s="52">
        <f t="shared" si="24"/>
        <v>101.8636676751098</v>
      </c>
      <c r="R77" s="52">
        <f t="shared" si="25"/>
        <v>101.22190738164403</v>
      </c>
      <c r="S77" s="52">
        <f t="shared" si="26"/>
        <v>100.59002596484939</v>
      </c>
    </row>
    <row r="78" spans="1:19" x14ac:dyDescent="0.3">
      <c r="A78" s="25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22" t="s">
        <v>21</v>
      </c>
      <c r="H78" s="22">
        <v>15.7</v>
      </c>
      <c r="I78" s="22">
        <v>9.5</v>
      </c>
      <c r="J78" s="21">
        <v>0.4955223880597015</v>
      </c>
      <c r="K78" s="53">
        <f t="shared" si="19"/>
        <v>53.19512257675742</v>
      </c>
      <c r="L78" s="53">
        <f t="shared" si="20"/>
        <v>57.119990414999997</v>
      </c>
      <c r="M78" s="53">
        <f t="shared" si="21"/>
        <v>42.267930111955195</v>
      </c>
      <c r="N78" s="52">
        <f t="shared" si="18"/>
        <v>73.528569914981659</v>
      </c>
      <c r="O78" s="52">
        <f t="shared" si="22"/>
        <v>64.863144498507452</v>
      </c>
      <c r="P78" s="52">
        <f t="shared" si="23"/>
        <v>65.925159127278846</v>
      </c>
      <c r="Q78" s="52">
        <f t="shared" si="24"/>
        <v>91.327831776146283</v>
      </c>
      <c r="R78" s="52">
        <f t="shared" si="25"/>
        <v>91.651612830426657</v>
      </c>
      <c r="S78" s="52">
        <f t="shared" si="26"/>
        <v>91.062932479402889</v>
      </c>
    </row>
    <row r="79" spans="1:19" x14ac:dyDescent="0.3">
      <c r="A79" s="25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22" t="s">
        <v>21</v>
      </c>
      <c r="H79" s="22">
        <v>10.3</v>
      </c>
      <c r="I79" s="22">
        <v>9.1999999999999993</v>
      </c>
      <c r="J79" s="21">
        <v>0.53535353535353536</v>
      </c>
      <c r="K79" s="53">
        <f t="shared" si="19"/>
        <v>18.736217076044156</v>
      </c>
      <c r="L79" s="53">
        <f t="shared" si="20"/>
        <v>23.808251004000006</v>
      </c>
      <c r="M79" s="53">
        <f t="shared" si="21"/>
        <v>15.345079918043384</v>
      </c>
      <c r="N79" s="52">
        <f t="shared" si="18"/>
        <v>47.155126535749247</v>
      </c>
      <c r="O79" s="52">
        <f t="shared" si="22"/>
        <v>29.208870258585865</v>
      </c>
      <c r="P79" s="52">
        <f t="shared" si="23"/>
        <v>30.261018784848254</v>
      </c>
      <c r="Q79" s="52">
        <f t="shared" si="24"/>
        <v>40.34280708800059</v>
      </c>
      <c r="R79" s="52">
        <f t="shared" si="25"/>
        <v>38.224134110776966</v>
      </c>
      <c r="S79" s="52">
        <f t="shared" si="26"/>
        <v>37.750809572984458</v>
      </c>
    </row>
    <row r="80" spans="1:19" x14ac:dyDescent="0.3">
      <c r="A80" s="25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22" t="s">
        <v>21</v>
      </c>
      <c r="H80" s="22">
        <v>13</v>
      </c>
      <c r="I80" s="22">
        <v>10.7</v>
      </c>
      <c r="J80" s="21">
        <v>0.57358490566037734</v>
      </c>
      <c r="K80" s="53">
        <f t="shared" si="19"/>
        <v>35.278226863741374</v>
      </c>
      <c r="L80" s="53">
        <f t="shared" si="20"/>
        <v>44.109861899999999</v>
      </c>
      <c r="M80" s="53">
        <f t="shared" si="21"/>
        <v>29.181847514743716</v>
      </c>
      <c r="N80" s="52">
        <f t="shared" si="18"/>
        <v>73.542705754276597</v>
      </c>
      <c r="O80" s="52">
        <f t="shared" si="22"/>
        <v>57.980239396226409</v>
      </c>
      <c r="P80" s="52">
        <f t="shared" si="23"/>
        <v>59.088426332052592</v>
      </c>
      <c r="Q80" s="52">
        <f t="shared" si="24"/>
        <v>74.75950151094051</v>
      </c>
      <c r="R80" s="52">
        <f t="shared" si="25"/>
        <v>70.387932203985955</v>
      </c>
      <c r="S80" s="52">
        <f t="shared" si="26"/>
        <v>69.304347158973201</v>
      </c>
    </row>
    <row r="81" spans="1:19" x14ac:dyDescent="0.3">
      <c r="A81" s="25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22" t="s">
        <v>21</v>
      </c>
      <c r="H81" s="22">
        <v>19.399999999999999</v>
      </c>
      <c r="I81" s="22">
        <v>14.8</v>
      </c>
      <c r="J81" s="21">
        <v>0.53076923076923077</v>
      </c>
      <c r="K81" s="53">
        <f t="shared" si="19"/>
        <v>107.64177113140825</v>
      </c>
      <c r="L81" s="53">
        <f t="shared" si="20"/>
        <v>135.87213230399999</v>
      </c>
      <c r="M81" s="53">
        <f t="shared" si="21"/>
        <v>91.755044512383051</v>
      </c>
      <c r="N81" s="52">
        <f t="shared" si="18"/>
        <v>173.92645011025255</v>
      </c>
      <c r="O81" s="52">
        <f t="shared" si="22"/>
        <v>165.26569775999997</v>
      </c>
      <c r="P81" s="52">
        <f t="shared" si="23"/>
        <v>164.2432295155501</v>
      </c>
      <c r="Q81" s="52">
        <f t="shared" si="24"/>
        <v>178.69805057469441</v>
      </c>
      <c r="R81" s="52">
        <f t="shared" si="25"/>
        <v>160.74812203831411</v>
      </c>
      <c r="S81" s="52">
        <f t="shared" si="26"/>
        <v>159.21817857339215</v>
      </c>
    </row>
    <row r="82" spans="1:19" x14ac:dyDescent="0.3">
      <c r="A82" s="25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22" t="s">
        <v>68</v>
      </c>
      <c r="H82" s="22">
        <v>12.5</v>
      </c>
      <c r="I82" s="22">
        <v>10</v>
      </c>
      <c r="J82" s="21">
        <v>0.62621359223300976</v>
      </c>
      <c r="K82" s="53">
        <f t="shared" si="19"/>
        <v>31.148792090580091</v>
      </c>
      <c r="L82" s="53">
        <f t="shared" si="20"/>
        <v>38.114062500000003</v>
      </c>
      <c r="M82" s="53">
        <f t="shared" si="21"/>
        <v>25.50661764922387</v>
      </c>
      <c r="N82" s="52">
        <f t="shared" si="18"/>
        <v>64.069030475006201</v>
      </c>
      <c r="O82" s="52">
        <f t="shared" si="22"/>
        <v>54.695843446601948</v>
      </c>
      <c r="P82" s="52">
        <f t="shared" si="23"/>
        <v>55.819322345441336</v>
      </c>
      <c r="Q82" s="52">
        <f t="shared" si="24"/>
        <v>73.92578590684019</v>
      </c>
      <c r="R82" s="52">
        <f t="shared" si="25"/>
        <v>71.143128624977749</v>
      </c>
      <c r="S82" s="52">
        <f t="shared" si="26"/>
        <v>69.687290388578006</v>
      </c>
    </row>
    <row r="83" spans="1:19" x14ac:dyDescent="0.3">
      <c r="A83" s="25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22" t="s">
        <v>68</v>
      </c>
      <c r="H83" s="22">
        <v>18.399999999999999</v>
      </c>
      <c r="I83" s="22">
        <v>10.3</v>
      </c>
      <c r="J83" s="21">
        <v>0.56457564575645758</v>
      </c>
      <c r="K83" s="53">
        <f t="shared" si="19"/>
        <v>81.121811287526796</v>
      </c>
      <c r="L83" s="53">
        <f t="shared" si="20"/>
        <v>85.062489024000001</v>
      </c>
      <c r="M83" s="53">
        <f t="shared" si="21"/>
        <v>64.610141643729364</v>
      </c>
      <c r="N83" s="52">
        <f t="shared" si="18"/>
        <v>96.313325356626962</v>
      </c>
      <c r="O83" s="52">
        <f t="shared" si="22"/>
        <v>110.05425001328412</v>
      </c>
      <c r="P83" s="52">
        <f t="shared" si="23"/>
        <v>110.44584815000421</v>
      </c>
      <c r="Q83" s="52">
        <f t="shared" si="24"/>
        <v>151.00130784005572</v>
      </c>
      <c r="R83" s="52">
        <f t="shared" si="25"/>
        <v>152.85268781020693</v>
      </c>
      <c r="S83" s="52">
        <f t="shared" si="26"/>
        <v>150.83470143157157</v>
      </c>
    </row>
    <row r="84" spans="1:19" x14ac:dyDescent="0.3">
      <c r="A84" s="25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22" t="s">
        <v>68</v>
      </c>
      <c r="H84" s="22">
        <v>10.6</v>
      </c>
      <c r="I84" s="22">
        <v>7</v>
      </c>
      <c r="J84" s="21">
        <v>0.60759493670886078</v>
      </c>
      <c r="K84" s="53">
        <f t="shared" si="19"/>
        <v>17.900699655890886</v>
      </c>
      <c r="L84" s="53">
        <f t="shared" si="20"/>
        <v>19.185582360000002</v>
      </c>
      <c r="M84" s="53">
        <f t="shared" si="21"/>
        <v>13.84626013465272</v>
      </c>
      <c r="N84" s="52">
        <f t="shared" si="18"/>
        <v>32.212328329531104</v>
      </c>
      <c r="O84" s="52">
        <f t="shared" si="22"/>
        <v>26.713803341772149</v>
      </c>
      <c r="P84" s="52">
        <f t="shared" si="23"/>
        <v>27.735449378868587</v>
      </c>
      <c r="Q84" s="52">
        <f t="shared" si="24"/>
        <v>44.763789597288905</v>
      </c>
      <c r="R84" s="52">
        <f t="shared" si="25"/>
        <v>47.16325018772072</v>
      </c>
      <c r="S84" s="52">
        <f t="shared" si="26"/>
        <v>46.24882838708232</v>
      </c>
    </row>
    <row r="85" spans="1:19" x14ac:dyDescent="0.3">
      <c r="A85" s="25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22" t="s">
        <v>68</v>
      </c>
      <c r="H85" s="22">
        <v>11.2</v>
      </c>
      <c r="I85" s="22">
        <v>6.8</v>
      </c>
      <c r="J85" s="21">
        <v>0.60431654676258995</v>
      </c>
      <c r="K85" s="53">
        <f t="shared" si="19"/>
        <v>20.228474840287124</v>
      </c>
      <c r="L85" s="53">
        <f t="shared" si="20"/>
        <v>20.807033855999997</v>
      </c>
      <c r="M85" s="53">
        <f t="shared" si="21"/>
        <v>15.481966180899217</v>
      </c>
      <c r="N85" s="52">
        <f t="shared" si="18"/>
        <v>32.486755724915824</v>
      </c>
      <c r="O85" s="52">
        <f t="shared" si="22"/>
        <v>28.815174353956824</v>
      </c>
      <c r="P85" s="52">
        <f t="shared" si="23"/>
        <v>29.862865718884397</v>
      </c>
      <c r="Q85" s="52">
        <f t="shared" si="24"/>
        <v>49.496057836155352</v>
      </c>
      <c r="R85" s="52">
        <f t="shared" si="25"/>
        <v>53.154535724202098</v>
      </c>
      <c r="S85" s="52">
        <f t="shared" si="26"/>
        <v>52.15096752728472</v>
      </c>
    </row>
    <row r="86" spans="1:19" x14ac:dyDescent="0.3">
      <c r="A86" s="25" t="s">
        <v>67</v>
      </c>
      <c r="B86" s="5" t="s">
        <v>24</v>
      </c>
      <c r="C86" s="22">
        <v>1</v>
      </c>
      <c r="D86" s="22">
        <v>1</v>
      </c>
      <c r="E86" s="22">
        <v>1</v>
      </c>
      <c r="F86" s="22">
        <v>1667</v>
      </c>
      <c r="G86" s="22" t="s">
        <v>68</v>
      </c>
      <c r="H86" s="29">
        <f>SQRT(8.9^2+9.1^2)</f>
        <v>12.728707711311467</v>
      </c>
      <c r="I86" s="22">
        <v>7.4</v>
      </c>
      <c r="J86" s="21">
        <v>0.67441860465116277</v>
      </c>
      <c r="K86" s="53">
        <f t="shared" si="19"/>
        <v>28.660728509382317</v>
      </c>
      <c r="L86" s="53">
        <f t="shared" si="20"/>
        <v>29.245938563999999</v>
      </c>
      <c r="M86" s="53">
        <f t="shared" si="21"/>
        <v>22.062677260893253</v>
      </c>
      <c r="N86" s="52">
        <f t="shared" si="18"/>
        <v>41.570556397060486</v>
      </c>
      <c r="O86" s="52">
        <f t="shared" si="22"/>
        <v>45.200339599999992</v>
      </c>
      <c r="P86" s="52">
        <f t="shared" si="23"/>
        <v>46.340363566343278</v>
      </c>
      <c r="Q86" s="52">
        <f t="shared" si="24"/>
        <v>75.099406572605446</v>
      </c>
      <c r="R86" s="52">
        <f t="shared" si="25"/>
        <v>80.705496323928315</v>
      </c>
      <c r="S86" s="52">
        <f t="shared" si="26"/>
        <v>78.7253555525824</v>
      </c>
    </row>
    <row r="87" spans="1:19" x14ac:dyDescent="0.3">
      <c r="A87" s="25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22" t="s">
        <v>68</v>
      </c>
      <c r="H87" s="22">
        <v>12.4</v>
      </c>
      <c r="I87" s="22">
        <v>8.6999999999999993</v>
      </c>
      <c r="J87" s="21">
        <v>0.6244343891402715</v>
      </c>
      <c r="K87" s="53">
        <f t="shared" si="19"/>
        <v>28.793749206298198</v>
      </c>
      <c r="L87" s="53">
        <f t="shared" si="20"/>
        <v>32.630808815999998</v>
      </c>
      <c r="M87" s="53">
        <f t="shared" si="21"/>
        <v>22.946510956233052</v>
      </c>
      <c r="N87" s="52">
        <f t="shared" si="18"/>
        <v>51.648450291631839</v>
      </c>
      <c r="O87" s="52">
        <f t="shared" si="22"/>
        <v>46.694017694117647</v>
      </c>
      <c r="P87" s="52">
        <f t="shared" si="23"/>
        <v>47.834376051593516</v>
      </c>
      <c r="Q87" s="52">
        <f t="shared" si="24"/>
        <v>69.110064770624604</v>
      </c>
      <c r="R87" s="52">
        <f t="shared" si="25"/>
        <v>69.623147784161688</v>
      </c>
      <c r="S87" s="52">
        <f t="shared" si="26"/>
        <v>68.207412497007695</v>
      </c>
    </row>
    <row r="88" spans="1:19" x14ac:dyDescent="0.3">
      <c r="A88" s="25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22" t="s">
        <v>54</v>
      </c>
      <c r="H88" s="22">
        <v>13</v>
      </c>
      <c r="I88" s="22">
        <v>9.6</v>
      </c>
      <c r="J88" s="21">
        <v>0.43252595155709345</v>
      </c>
      <c r="K88" s="53">
        <f t="shared" si="19"/>
        <v>33.693783470036891</v>
      </c>
      <c r="L88" s="53">
        <f t="shared" si="20"/>
        <v>39.575203199999997</v>
      </c>
      <c r="M88" s="53">
        <f t="shared" si="21"/>
        <v>27.272989254476638</v>
      </c>
      <c r="N88" s="52">
        <f t="shared" si="18"/>
        <v>62.544654320363392</v>
      </c>
      <c r="O88" s="52">
        <f t="shared" si="22"/>
        <v>39.226712802768162</v>
      </c>
      <c r="P88" s="52">
        <f t="shared" si="23"/>
        <v>40.35311727239008</v>
      </c>
      <c r="Q88" s="52">
        <f t="shared" si="24"/>
        <v>53.164716344182274</v>
      </c>
      <c r="R88" s="52">
        <f t="shared" si="25"/>
        <v>50.990968111771743</v>
      </c>
      <c r="S88" s="52">
        <f t="shared" si="26"/>
        <v>51.021727848563884</v>
      </c>
    </row>
    <row r="89" spans="1:19" x14ac:dyDescent="0.3">
      <c r="A89" s="25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22" t="s">
        <v>54</v>
      </c>
      <c r="H89" s="22">
        <v>12.8</v>
      </c>
      <c r="I89" s="22">
        <v>9.4</v>
      </c>
      <c r="J89" s="21">
        <v>0.43609022556390975</v>
      </c>
      <c r="K89" s="53">
        <f t="shared" si="19"/>
        <v>32.15322768293445</v>
      </c>
      <c r="L89" s="53">
        <f t="shared" si="20"/>
        <v>37.567561728000015</v>
      </c>
      <c r="M89" s="53">
        <f t="shared" si="21"/>
        <v>25.951644612856121</v>
      </c>
      <c r="N89" s="52">
        <f t="shared" si="18"/>
        <v>59.731894624799722</v>
      </c>
      <c r="O89" s="52">
        <f t="shared" si="22"/>
        <v>37.543603392481209</v>
      </c>
      <c r="P89" s="52">
        <f t="shared" si="23"/>
        <v>38.662348411836803</v>
      </c>
      <c r="Q89" s="52">
        <f t="shared" si="24"/>
        <v>51.540180959640246</v>
      </c>
      <c r="R89" s="52">
        <f t="shared" si="25"/>
        <v>49.680220818451176</v>
      </c>
      <c r="S89" s="52">
        <f t="shared" si="26"/>
        <v>49.683973355373311</v>
      </c>
    </row>
    <row r="90" spans="1:19" x14ac:dyDescent="0.3">
      <c r="A90" s="25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22" t="s">
        <v>54</v>
      </c>
      <c r="H90" s="22">
        <v>13.8</v>
      </c>
      <c r="I90" s="22">
        <v>7.5</v>
      </c>
      <c r="J90" s="21">
        <v>0.4375</v>
      </c>
      <c r="K90" s="53">
        <f t="shared" si="19"/>
        <v>35.116049661273735</v>
      </c>
      <c r="L90" s="53">
        <f t="shared" si="20"/>
        <v>34.840521900000006</v>
      </c>
      <c r="M90" s="53">
        <f t="shared" si="21"/>
        <v>26.91458298004417</v>
      </c>
      <c r="N90" s="52">
        <f t="shared" si="18"/>
        <v>45.7601308317277</v>
      </c>
      <c r="O90" s="52">
        <f t="shared" si="22"/>
        <v>34.930861874999998</v>
      </c>
      <c r="P90" s="52">
        <f t="shared" si="23"/>
        <v>36.034078301921397</v>
      </c>
      <c r="Q90" s="52">
        <f t="shared" si="24"/>
        <v>56.136427487314705</v>
      </c>
      <c r="R90" s="52">
        <f t="shared" si="25"/>
        <v>59.211655134557709</v>
      </c>
      <c r="S90" s="52">
        <f t="shared" si="26"/>
        <v>59.222141688022234</v>
      </c>
    </row>
    <row r="91" spans="1:19" x14ac:dyDescent="0.3">
      <c r="A91" s="25" t="s">
        <v>69</v>
      </c>
      <c r="B91" s="5" t="s">
        <v>24</v>
      </c>
      <c r="C91" s="22">
        <v>2</v>
      </c>
      <c r="D91" s="22">
        <v>1</v>
      </c>
      <c r="E91" s="22">
        <v>1</v>
      </c>
      <c r="F91" s="22">
        <v>143</v>
      </c>
      <c r="G91" s="22" t="s">
        <v>54</v>
      </c>
      <c r="H91" s="22">
        <f>SQRT(10^2+10.5^2)</f>
        <v>14.5</v>
      </c>
      <c r="I91" s="22">
        <v>9.4</v>
      </c>
      <c r="J91" s="21">
        <v>0.36301369863013699</v>
      </c>
      <c r="K91" s="53">
        <f t="shared" si="19"/>
        <v>43.606570238836049</v>
      </c>
      <c r="L91" s="53">
        <f t="shared" si="20"/>
        <v>48.209105550000004</v>
      </c>
      <c r="M91" s="53">
        <f t="shared" si="21"/>
        <v>34.81591685616111</v>
      </c>
      <c r="N91" s="52">
        <f t="shared" si="18"/>
        <v>67.162441968606117</v>
      </c>
      <c r="O91" s="52">
        <f t="shared" si="22"/>
        <v>40.105014691780831</v>
      </c>
      <c r="P91" s="52">
        <f t="shared" si="23"/>
        <v>41.234720124023347</v>
      </c>
      <c r="Q91" s="52">
        <f t="shared" si="24"/>
        <v>55.034210665303689</v>
      </c>
      <c r="R91" s="52">
        <f t="shared" si="25"/>
        <v>53.569700380720533</v>
      </c>
      <c r="S91" s="52">
        <f t="shared" si="26"/>
        <v>54.163413429687331</v>
      </c>
    </row>
    <row r="92" spans="1:19" x14ac:dyDescent="0.3">
      <c r="A92" s="25" t="s">
        <v>69</v>
      </c>
      <c r="B92" s="5" t="s">
        <v>59</v>
      </c>
      <c r="C92" s="22">
        <v>2</v>
      </c>
      <c r="D92" s="22">
        <v>1</v>
      </c>
      <c r="E92" s="22">
        <v>1</v>
      </c>
      <c r="F92" s="22">
        <v>276</v>
      </c>
      <c r="G92" s="22" t="s">
        <v>54</v>
      </c>
      <c r="H92" s="29">
        <f>SQRT(12.2^2+9^2+8.4^2+11.8^2)</f>
        <v>20.967594044143453</v>
      </c>
      <c r="I92" s="22">
        <v>6.3</v>
      </c>
      <c r="J92" s="21">
        <v>0.42028985507246375</v>
      </c>
      <c r="K92" s="53">
        <f t="shared" si="19"/>
        <v>90.638665729245702</v>
      </c>
      <c r="L92" s="53">
        <f t="shared" si="20"/>
        <v>67.562072676</v>
      </c>
      <c r="M92" s="53">
        <f t="shared" si="21"/>
        <v>64.689873738553246</v>
      </c>
      <c r="N92" s="52">
        <f t="shared" si="18"/>
        <v>52.267042953778194</v>
      </c>
      <c r="O92" s="52">
        <f t="shared" si="22"/>
        <v>65.0726455826087</v>
      </c>
      <c r="P92" s="52">
        <f t="shared" si="23"/>
        <v>66.132972009403403</v>
      </c>
      <c r="Q92" s="52">
        <f t="shared" si="24"/>
        <v>122.47605978522188</v>
      </c>
      <c r="R92" s="52">
        <f t="shared" si="25"/>
        <v>147.05197801185687</v>
      </c>
      <c r="S92" s="52">
        <f t="shared" si="26"/>
        <v>147.6499578203825</v>
      </c>
    </row>
    <row r="93" spans="1:19" x14ac:dyDescent="0.3">
      <c r="A93" s="25" t="s">
        <v>69</v>
      </c>
      <c r="B93" s="5" t="s">
        <v>30</v>
      </c>
      <c r="C93" s="22">
        <v>2</v>
      </c>
      <c r="D93" s="22">
        <v>1</v>
      </c>
      <c r="E93" s="22">
        <v>1</v>
      </c>
      <c r="F93" s="22">
        <v>78</v>
      </c>
      <c r="G93" s="22" t="s">
        <v>54</v>
      </c>
      <c r="H93" s="29">
        <f>SQRT(11.5^2+6.6^2+5.4^2)</f>
        <v>14.316773379501402</v>
      </c>
      <c r="I93" s="22">
        <v>11.9</v>
      </c>
      <c r="J93" s="21">
        <v>0.42567567567567566</v>
      </c>
      <c r="K93" s="53">
        <f t="shared" si="19"/>
        <v>46.713518059013666</v>
      </c>
      <c r="L93" s="53">
        <f t="shared" si="20"/>
        <v>59.498015199000001</v>
      </c>
      <c r="M93" s="53">
        <f t="shared" si="21"/>
        <v>39.141214035992228</v>
      </c>
      <c r="N93" s="52">
        <f t="shared" si="18"/>
        <v>94.377420043817139</v>
      </c>
      <c r="O93" s="52">
        <f t="shared" si="22"/>
        <v>58.04006691283783</v>
      </c>
      <c r="P93" s="52">
        <f t="shared" si="23"/>
        <v>59.147933302101769</v>
      </c>
      <c r="Q93" s="52">
        <f t="shared" si="24"/>
        <v>68.910093621170745</v>
      </c>
      <c r="R93" s="52">
        <f t="shared" si="25"/>
        <v>62.414684830053559</v>
      </c>
      <c r="S93" s="52">
        <f t="shared" si="26"/>
        <v>62.532214149630988</v>
      </c>
    </row>
    <row r="94" spans="1:19" x14ac:dyDescent="0.3">
      <c r="A94" s="25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22" t="s">
        <v>71</v>
      </c>
      <c r="H94" s="29">
        <f>SQRT(13^2 + 23^2)</f>
        <v>26.419689627245813</v>
      </c>
      <c r="I94" s="22">
        <v>16.7</v>
      </c>
      <c r="J94" s="21">
        <v>0.49367088607594939</v>
      </c>
      <c r="K94" s="53">
        <f t="shared" si="19"/>
        <v>240.94520938125982</v>
      </c>
      <c r="L94" s="53">
        <f t="shared" si="20"/>
        <v>284.33944380000003</v>
      </c>
      <c r="M94" s="53">
        <f t="shared" si="21"/>
        <v>204.82523372552254</v>
      </c>
      <c r="N94" s="52">
        <f t="shared" si="18"/>
        <v>278.48344451443529</v>
      </c>
      <c r="O94" s="52">
        <f t="shared" si="22"/>
        <v>321.67789443037975</v>
      </c>
      <c r="P94" s="52">
        <f t="shared" si="23"/>
        <v>314.61849402512235</v>
      </c>
      <c r="Q94" s="52">
        <f t="shared" si="24"/>
        <v>330.42201599446668</v>
      </c>
      <c r="R94" s="52">
        <f t="shared" si="25"/>
        <v>299.62401371176065</v>
      </c>
      <c r="S94" s="52">
        <f t="shared" si="26"/>
        <v>298.35263316399158</v>
      </c>
    </row>
    <row r="95" spans="1:19" x14ac:dyDescent="0.3">
      <c r="A95" s="25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22" t="s">
        <v>71</v>
      </c>
      <c r="H95" s="29">
        <f>SQRT(12.3^2 + 1.9^2)</f>
        <v>12.445882853377659</v>
      </c>
      <c r="I95" s="22">
        <v>11.5</v>
      </c>
      <c r="J95" s="21">
        <v>0.51980198019801982</v>
      </c>
      <c r="K95" s="53">
        <f t="shared" si="19"/>
        <v>32.70008719576299</v>
      </c>
      <c r="L95" s="53">
        <f t="shared" si="20"/>
        <v>43.452470550000008</v>
      </c>
      <c r="M95" s="53">
        <f t="shared" si="21"/>
        <v>27.546402947496741</v>
      </c>
      <c r="N95" s="52">
        <f t="shared" si="18"/>
        <v>78.616145747965604</v>
      </c>
      <c r="O95" s="52">
        <f t="shared" si="22"/>
        <v>51.760563490099017</v>
      </c>
      <c r="P95" s="52">
        <f t="shared" si="23"/>
        <v>52.893725791988182</v>
      </c>
      <c r="Q95" s="52">
        <f t="shared" si="24"/>
        <v>62.855699341717568</v>
      </c>
      <c r="R95" s="52">
        <f t="shared" si="25"/>
        <v>56.944341635229456</v>
      </c>
      <c r="S95" s="52">
        <f t="shared" si="26"/>
        <v>56.374479180247334</v>
      </c>
    </row>
    <row r="96" spans="1:19" x14ac:dyDescent="0.3">
      <c r="A96" s="25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22" t="s">
        <v>71</v>
      </c>
      <c r="H96" s="22">
        <v>17.399999999999999</v>
      </c>
      <c r="I96" s="22">
        <v>12.7</v>
      </c>
      <c r="J96" s="21">
        <v>0.44144144144144143</v>
      </c>
      <c r="K96" s="53">
        <f t="shared" si="19"/>
        <v>77.334709965199011</v>
      </c>
      <c r="L96" s="53">
        <f t="shared" si="20"/>
        <v>93.792353435999971</v>
      </c>
      <c r="M96" s="53">
        <f t="shared" si="21"/>
        <v>64.542303500991537</v>
      </c>
      <c r="N96" s="52">
        <f t="shared" si="18"/>
        <v>124.94006305756919</v>
      </c>
      <c r="O96" s="52">
        <f t="shared" si="22"/>
        <v>94.882720118918883</v>
      </c>
      <c r="P96" s="52">
        <f t="shared" si="23"/>
        <v>95.559919524165508</v>
      </c>
      <c r="Q96" s="52">
        <f t="shared" si="24"/>
        <v>110.56717415446084</v>
      </c>
      <c r="R96" s="52">
        <f t="shared" si="25"/>
        <v>101.57960376046056</v>
      </c>
      <c r="S96" s="52">
        <f t="shared" si="26"/>
        <v>101.63506330314445</v>
      </c>
    </row>
    <row r="97" spans="1:19" x14ac:dyDescent="0.3">
      <c r="A97" s="25" t="s">
        <v>70</v>
      </c>
      <c r="B97" s="5" t="s">
        <v>30</v>
      </c>
      <c r="C97" s="22">
        <v>2</v>
      </c>
      <c r="D97" s="22">
        <v>1</v>
      </c>
      <c r="E97" s="22">
        <v>1</v>
      </c>
      <c r="F97" s="12">
        <v>85</v>
      </c>
      <c r="G97" s="22" t="s">
        <v>71</v>
      </c>
      <c r="H97" s="29">
        <f>SQRT(12.7^2+16.1^2+17.1^2)</f>
        <v>26.700374529208389</v>
      </c>
      <c r="I97" s="22">
        <v>13.1</v>
      </c>
      <c r="J97" s="21">
        <v>0.5</v>
      </c>
      <c r="K97" s="53">
        <f t="shared" si="19"/>
        <v>223.08256938292945</v>
      </c>
      <c r="L97" s="53">
        <f t="shared" si="20"/>
        <v>227.80917855300004</v>
      </c>
      <c r="M97" s="53">
        <f t="shared" si="21"/>
        <v>180.48494315055913</v>
      </c>
      <c r="N97" s="52">
        <f t="shared" si="18"/>
        <v>195.73196494423371</v>
      </c>
      <c r="O97" s="52">
        <f t="shared" si="22"/>
        <v>261.02843195000003</v>
      </c>
      <c r="P97" s="52">
        <f t="shared" si="23"/>
        <v>256.58333558612424</v>
      </c>
      <c r="Q97" s="52">
        <f t="shared" si="24"/>
        <v>315.39895624992721</v>
      </c>
      <c r="R97" s="52">
        <f t="shared" si="25"/>
        <v>311.44325731835033</v>
      </c>
      <c r="S97" s="52">
        <f t="shared" si="26"/>
        <v>309.90866994907151</v>
      </c>
    </row>
    <row r="98" spans="1:19" x14ac:dyDescent="0.3">
      <c r="A98" s="25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22" t="s">
        <v>71</v>
      </c>
      <c r="H98" s="22">
        <v>10.199999999999999</v>
      </c>
      <c r="I98" s="22">
        <v>9.5</v>
      </c>
      <c r="J98" s="21">
        <v>0.4494949494949495</v>
      </c>
      <c r="K98" s="53">
        <f t="shared" si="19"/>
        <v>18.545241967789813</v>
      </c>
      <c r="L98" s="53">
        <f t="shared" si="20"/>
        <v>24.109553339999998</v>
      </c>
      <c r="M98" s="53">
        <f t="shared" si="21"/>
        <v>15.299452983020773</v>
      </c>
      <c r="N98" s="52">
        <f t="shared" ref="N98:N129" si="27">10^(-0.717903255+0.940214879*LOG10(H98)+1.345432588*LOG10(I98)*1.109844005)</f>
        <v>49.017861542719849</v>
      </c>
      <c r="O98" s="52">
        <f t="shared" si="22"/>
        <v>24.834794636363636</v>
      </c>
      <c r="P98" s="52">
        <f t="shared" si="23"/>
        <v>25.829753348130183</v>
      </c>
      <c r="Q98" s="52">
        <f t="shared" si="24"/>
        <v>33.098073540042442</v>
      </c>
      <c r="R98" s="52">
        <f t="shared" si="25"/>
        <v>30.616523681311946</v>
      </c>
      <c r="S98" s="52">
        <f t="shared" si="26"/>
        <v>30.539588845476391</v>
      </c>
    </row>
    <row r="99" spans="1:19" x14ac:dyDescent="0.3">
      <c r="A99" s="25" t="s">
        <v>70</v>
      </c>
      <c r="B99" s="5" t="s">
        <v>30</v>
      </c>
      <c r="C99" s="22">
        <v>2</v>
      </c>
      <c r="D99" s="22">
        <v>2</v>
      </c>
      <c r="E99" s="22">
        <v>0</v>
      </c>
      <c r="F99" s="22">
        <v>800</v>
      </c>
      <c r="G99" s="22" t="s">
        <v>71</v>
      </c>
      <c r="H99" s="22">
        <v>14.6</v>
      </c>
      <c r="I99" s="22">
        <v>6.5</v>
      </c>
      <c r="J99" s="21">
        <v>0.52631578947368418</v>
      </c>
      <c r="K99" s="53">
        <f t="shared" si="19"/>
        <v>37.929560304354879</v>
      </c>
      <c r="L99" s="53">
        <f t="shared" si="20"/>
        <v>33.797477220000005</v>
      </c>
      <c r="M99" s="53">
        <f t="shared" si="21"/>
        <v>28.112473855569132</v>
      </c>
      <c r="N99" s="52">
        <f t="shared" si="27"/>
        <v>38.967033432307588</v>
      </c>
      <c r="O99" s="52">
        <f t="shared" si="22"/>
        <v>40.76404526315789</v>
      </c>
      <c r="P99" s="52">
        <f t="shared" si="23"/>
        <v>41.89592276451657</v>
      </c>
      <c r="Q99" s="52">
        <f t="shared" si="24"/>
        <v>73.485751503146403</v>
      </c>
      <c r="R99" s="52">
        <f t="shared" si="25"/>
        <v>83.17343886873698</v>
      </c>
      <c r="S99" s="52">
        <f t="shared" si="26"/>
        <v>82.332488864537765</v>
      </c>
    </row>
    <row r="100" spans="1:19" x14ac:dyDescent="0.3">
      <c r="A100" s="25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22" t="s">
        <v>21</v>
      </c>
      <c r="H100" s="22">
        <v>10.9</v>
      </c>
      <c r="I100" s="22">
        <v>8.9</v>
      </c>
      <c r="J100" s="21">
        <v>0.5536723163841808</v>
      </c>
      <c r="K100" s="53">
        <f t="shared" si="19"/>
        <v>21.215990492432166</v>
      </c>
      <c r="L100" s="53">
        <f t="shared" si="20"/>
        <v>25.793377737000004</v>
      </c>
      <c r="M100" s="53">
        <f t="shared" si="21"/>
        <v>17.176328944416444</v>
      </c>
      <c r="N100" s="52">
        <f t="shared" si="27"/>
        <v>47.331361483965239</v>
      </c>
      <c r="O100" s="52">
        <f t="shared" si="22"/>
        <v>32.727107253107349</v>
      </c>
      <c r="P100" s="52">
        <f t="shared" si="23"/>
        <v>33.813566190380449</v>
      </c>
      <c r="Q100" s="52">
        <f t="shared" si="24"/>
        <v>46.611329407870159</v>
      </c>
      <c r="R100" s="52">
        <f t="shared" si="25"/>
        <v>45.205678568242298</v>
      </c>
      <c r="S100" s="52">
        <f t="shared" si="26"/>
        <v>44.569800742523263</v>
      </c>
    </row>
    <row r="101" spans="1:19" x14ac:dyDescent="0.3">
      <c r="A101" s="25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22" t="s">
        <v>21</v>
      </c>
      <c r="H101" s="22">
        <v>12.7</v>
      </c>
      <c r="I101" s="22">
        <v>14.6</v>
      </c>
      <c r="J101" s="21">
        <v>0.56756756756756754</v>
      </c>
      <c r="K101" s="53">
        <f t="shared" si="19"/>
        <v>38.010640786993164</v>
      </c>
      <c r="L101" s="53">
        <f t="shared" si="20"/>
        <v>57.441465762</v>
      </c>
      <c r="M101" s="53">
        <f t="shared" si="21"/>
        <v>33.526584031306712</v>
      </c>
      <c r="N101" s="52">
        <f t="shared" si="27"/>
        <v>114.43127533021973</v>
      </c>
      <c r="O101" s="52">
        <f t="shared" si="22"/>
        <v>74.711881962162153</v>
      </c>
      <c r="P101" s="52">
        <f t="shared" si="23"/>
        <v>75.677968221351819</v>
      </c>
      <c r="Q101" s="52">
        <f t="shared" si="24"/>
        <v>78.20390633865253</v>
      </c>
      <c r="R101" s="52">
        <f t="shared" si="25"/>
        <v>65.933522631117015</v>
      </c>
      <c r="S101" s="52">
        <f t="shared" si="26"/>
        <v>64.951852896725327</v>
      </c>
    </row>
    <row r="102" spans="1:19" x14ac:dyDescent="0.3">
      <c r="A102" s="25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22" t="s">
        <v>21</v>
      </c>
      <c r="H102" s="22">
        <v>13.6</v>
      </c>
      <c r="I102" s="22">
        <v>16.100000000000001</v>
      </c>
      <c r="J102" s="21">
        <v>0.64782608695652177</v>
      </c>
      <c r="K102" s="53">
        <f t="shared" si="19"/>
        <v>46.83284013181116</v>
      </c>
      <c r="L102" s="53">
        <f t="shared" si="20"/>
        <v>72.638841408000005</v>
      </c>
      <c r="M102" s="53">
        <f t="shared" si="21"/>
        <v>41.873697027292877</v>
      </c>
      <c r="N102" s="52">
        <f t="shared" si="27"/>
        <v>141.22896600706767</v>
      </c>
      <c r="O102" s="52">
        <f t="shared" si="22"/>
        <v>107.83852352</v>
      </c>
      <c r="P102" s="52">
        <f t="shared" si="23"/>
        <v>108.27507628589575</v>
      </c>
      <c r="Q102" s="52">
        <f t="shared" si="24"/>
        <v>107.71453905887574</v>
      </c>
      <c r="R102" s="52">
        <f t="shared" si="25"/>
        <v>89.666579416262209</v>
      </c>
      <c r="S102" s="52">
        <f t="shared" si="26"/>
        <v>87.689781632143635</v>
      </c>
    </row>
    <row r="103" spans="1:19" x14ac:dyDescent="0.3">
      <c r="A103" s="25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22" t="s">
        <v>21</v>
      </c>
      <c r="H103" s="22">
        <v>10.6</v>
      </c>
      <c r="I103" s="22">
        <v>7.7</v>
      </c>
      <c r="J103" s="21">
        <v>0.55102040816326525</v>
      </c>
      <c r="K103" s="53">
        <f t="shared" si="19"/>
        <v>18.638202678656064</v>
      </c>
      <c r="L103" s="53">
        <f t="shared" si="20"/>
        <v>21.104140596000001</v>
      </c>
      <c r="M103" s="53">
        <f t="shared" si="21"/>
        <v>14.694186395471554</v>
      </c>
      <c r="N103" s="52">
        <f t="shared" si="27"/>
        <v>37.139026396509038</v>
      </c>
      <c r="O103" s="52">
        <f t="shared" si="22"/>
        <v>26.649063257142853</v>
      </c>
      <c r="P103" s="52">
        <f t="shared" si="23"/>
        <v>27.669844641226401</v>
      </c>
      <c r="Q103" s="52">
        <f t="shared" si="24"/>
        <v>41.618413343797918</v>
      </c>
      <c r="R103" s="52">
        <f t="shared" si="25"/>
        <v>42.181849907505196</v>
      </c>
      <c r="S103" s="52">
        <f t="shared" si="26"/>
        <v>41.595497603414394</v>
      </c>
    </row>
    <row r="104" spans="1:19" x14ac:dyDescent="0.3">
      <c r="A104" s="25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22" t="s">
        <v>21</v>
      </c>
      <c r="H104" s="22">
        <v>13.8</v>
      </c>
      <c r="I104" s="22">
        <v>12.8</v>
      </c>
      <c r="J104" s="21">
        <v>0.61440677966101698</v>
      </c>
      <c r="K104" s="53">
        <f t="shared" si="19"/>
        <v>44.039695834457007</v>
      </c>
      <c r="L104" s="53">
        <f t="shared" si="20"/>
        <v>59.461157376000017</v>
      </c>
      <c r="M104" s="53">
        <f t="shared" si="21"/>
        <v>37.56287616048747</v>
      </c>
      <c r="N104" s="52">
        <f t="shared" si="27"/>
        <v>101.65679572469709</v>
      </c>
      <c r="O104" s="52">
        <f t="shared" si="22"/>
        <v>83.721297355932222</v>
      </c>
      <c r="P104" s="52">
        <f t="shared" si="23"/>
        <v>84.572472313041146</v>
      </c>
      <c r="Q104" s="52">
        <f t="shared" si="24"/>
        <v>97.053024565573054</v>
      </c>
      <c r="R104" s="52">
        <f t="shared" si="25"/>
        <v>87.265334648048267</v>
      </c>
      <c r="S104" s="52">
        <f t="shared" si="26"/>
        <v>85.604713077009251</v>
      </c>
    </row>
    <row r="105" spans="1:19" x14ac:dyDescent="0.3">
      <c r="A105" s="25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22" t="s">
        <v>21</v>
      </c>
      <c r="H105" s="22">
        <v>12.1</v>
      </c>
      <c r="I105" s="22">
        <v>7.7</v>
      </c>
      <c r="J105" s="21">
        <v>0.51502145922746778</v>
      </c>
      <c r="K105" s="53">
        <f t="shared" si="19"/>
        <v>25.75413237671869</v>
      </c>
      <c r="L105" s="53">
        <f t="shared" si="20"/>
        <v>27.499619301000003</v>
      </c>
      <c r="M105" s="53">
        <f t="shared" si="21"/>
        <v>20.071734545313468</v>
      </c>
      <c r="N105" s="52">
        <f t="shared" si="27"/>
        <v>42.060419543499677</v>
      </c>
      <c r="O105" s="52">
        <f t="shared" si="22"/>
        <v>32.456269339055794</v>
      </c>
      <c r="P105" s="52">
        <f t="shared" si="23"/>
        <v>33.540425826412473</v>
      </c>
      <c r="Q105" s="52">
        <f t="shared" si="24"/>
        <v>51.164125329074061</v>
      </c>
      <c r="R105" s="52">
        <f t="shared" si="25"/>
        <v>52.833380450112529</v>
      </c>
      <c r="S105" s="52">
        <f t="shared" si="26"/>
        <v>52.326654857802694</v>
      </c>
    </row>
    <row r="106" spans="1:19" x14ac:dyDescent="0.3">
      <c r="A106" s="25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22" t="s">
        <v>68</v>
      </c>
      <c r="H106" s="22">
        <v>28.2</v>
      </c>
      <c r="I106" s="22">
        <v>12</v>
      </c>
      <c r="J106" s="21">
        <v>0.39212007504690433</v>
      </c>
      <c r="K106" s="53">
        <f t="shared" si="19"/>
        <v>245.64941979469467</v>
      </c>
      <c r="L106" s="53">
        <f t="shared" si="20"/>
        <v>232.77947184000004</v>
      </c>
      <c r="M106" s="53">
        <f t="shared" si="21"/>
        <v>194.35995473979219</v>
      </c>
      <c r="N106" s="52">
        <f t="shared" si="27"/>
        <v>180.75814264914587</v>
      </c>
      <c r="O106" s="52">
        <f t="shared" si="22"/>
        <v>209.17527453658539</v>
      </c>
      <c r="P106" s="52">
        <f t="shared" si="23"/>
        <v>206.70893005715371</v>
      </c>
      <c r="Q106" s="52">
        <f t="shared" si="24"/>
        <v>264.42669039913932</v>
      </c>
      <c r="R106" s="52">
        <f t="shared" si="25"/>
        <v>267.32359547982895</v>
      </c>
      <c r="S106" s="52">
        <f t="shared" si="26"/>
        <v>269.77967401325299</v>
      </c>
    </row>
    <row r="107" spans="1:19" x14ac:dyDescent="0.3">
      <c r="A107" s="25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22" t="s">
        <v>68</v>
      </c>
      <c r="H107" s="22">
        <v>17.100000000000001</v>
      </c>
      <c r="I107" s="22">
        <v>18.8</v>
      </c>
      <c r="J107" s="21">
        <v>0.35628742514970058</v>
      </c>
      <c r="K107" s="53">
        <f t="shared" si="19"/>
        <v>87.514860685528873</v>
      </c>
      <c r="L107" s="53">
        <f t="shared" si="20"/>
        <v>134.09583404400004</v>
      </c>
      <c r="M107" s="53">
        <f t="shared" si="21"/>
        <v>79.11925129979619</v>
      </c>
      <c r="N107" s="52">
        <f t="shared" si="27"/>
        <v>220.78846970540772</v>
      </c>
      <c r="O107" s="52">
        <f t="shared" si="22"/>
        <v>109.48695373293414</v>
      </c>
      <c r="P107" s="52">
        <f t="shared" si="23"/>
        <v>109.89016242522811</v>
      </c>
      <c r="Q107" s="52">
        <f t="shared" si="24"/>
        <v>96.687492077359821</v>
      </c>
      <c r="R107" s="52">
        <f t="shared" si="25"/>
        <v>76.42851348883255</v>
      </c>
      <c r="S107" s="52">
        <f t="shared" si="26"/>
        <v>77.406637842228903</v>
      </c>
    </row>
    <row r="108" spans="1:19" x14ac:dyDescent="0.3">
      <c r="A108" s="25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22" t="s">
        <v>68</v>
      </c>
      <c r="H108" s="22">
        <v>17.3</v>
      </c>
      <c r="I108" s="22">
        <v>17.399999999999999</v>
      </c>
      <c r="J108" s="21">
        <v>0.36792452830188677</v>
      </c>
      <c r="K108" s="53">
        <f t="shared" si="19"/>
        <v>87.133280508749834</v>
      </c>
      <c r="L108" s="53">
        <f t="shared" si="20"/>
        <v>127.03010887800001</v>
      </c>
      <c r="M108" s="53">
        <f t="shared" si="21"/>
        <v>77.485904694327573</v>
      </c>
      <c r="N108" s="52">
        <f t="shared" si="27"/>
        <v>198.85633123630345</v>
      </c>
      <c r="O108" s="52">
        <f t="shared" si="22"/>
        <v>107.10555702452828</v>
      </c>
      <c r="P108" s="52">
        <f t="shared" si="23"/>
        <v>107.55674627784676</v>
      </c>
      <c r="Q108" s="52">
        <f t="shared" si="24"/>
        <v>99.915274994187001</v>
      </c>
      <c r="R108" s="52">
        <f t="shared" si="25"/>
        <v>81.42022914219757</v>
      </c>
      <c r="S108" s="52">
        <f t="shared" si="26"/>
        <v>82.314678418940929</v>
      </c>
    </row>
    <row r="109" spans="1:19" x14ac:dyDescent="0.3">
      <c r="A109" s="25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22" t="s">
        <v>68</v>
      </c>
      <c r="H109" s="22">
        <v>18.3</v>
      </c>
      <c r="I109" s="22">
        <v>12.5</v>
      </c>
      <c r="J109" s="21">
        <v>0.34</v>
      </c>
      <c r="K109" s="53">
        <f t="shared" si="19"/>
        <v>86.889694113665016</v>
      </c>
      <c r="L109" s="53">
        <f t="shared" si="20"/>
        <v>102.11214712500004</v>
      </c>
      <c r="M109" s="53">
        <f t="shared" si="21"/>
        <v>71.970233340298805</v>
      </c>
      <c r="N109" s="52">
        <f t="shared" si="27"/>
        <v>127.93822863509165</v>
      </c>
      <c r="O109" s="52">
        <f t="shared" si="22"/>
        <v>79.561491750000016</v>
      </c>
      <c r="P109" s="52">
        <f t="shared" si="23"/>
        <v>80.468737409728789</v>
      </c>
      <c r="Q109" s="52">
        <f t="shared" si="24"/>
        <v>92.33571118051573</v>
      </c>
      <c r="R109" s="52">
        <f t="shared" si="25"/>
        <v>84.59159287299839</v>
      </c>
      <c r="S109" s="52">
        <f t="shared" si="26"/>
        <v>85.925543013891641</v>
      </c>
    </row>
    <row r="110" spans="1:19" x14ac:dyDescent="0.3">
      <c r="A110" s="25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22" t="s">
        <v>68</v>
      </c>
      <c r="H110" s="22">
        <v>12.6</v>
      </c>
      <c r="I110" s="22">
        <v>13</v>
      </c>
      <c r="J110" s="21">
        <v>0.39171974522292996</v>
      </c>
      <c r="K110" s="53">
        <f t="shared" si="19"/>
        <v>35.494670894729211</v>
      </c>
      <c r="L110" s="53">
        <f t="shared" si="20"/>
        <v>50.344224840000003</v>
      </c>
      <c r="M110" s="53">
        <f t="shared" si="21"/>
        <v>30.610020310895951</v>
      </c>
      <c r="N110" s="52">
        <f t="shared" si="27"/>
        <v>95.509005216350289</v>
      </c>
      <c r="O110" s="52">
        <f t="shared" si="22"/>
        <v>45.193056420382163</v>
      </c>
      <c r="P110" s="52">
        <f t="shared" si="23"/>
        <v>46.33307588428837</v>
      </c>
      <c r="Q110" s="52">
        <f t="shared" si="24"/>
        <v>49.590999913035567</v>
      </c>
      <c r="R110" s="52">
        <f t="shared" si="25"/>
        <v>42.397283233633587</v>
      </c>
      <c r="S110" s="52">
        <f t="shared" si="26"/>
        <v>42.658516872388333</v>
      </c>
    </row>
    <row r="111" spans="1:19" x14ac:dyDescent="0.3">
      <c r="A111" s="25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22" t="s">
        <v>68</v>
      </c>
      <c r="H111" s="22">
        <v>26.5</v>
      </c>
      <c r="I111" s="22">
        <v>16.3</v>
      </c>
      <c r="J111" s="21">
        <v>0.41425818882466281</v>
      </c>
      <c r="K111" s="53">
        <f t="shared" si="19"/>
        <v>240.25862504870284</v>
      </c>
      <c r="L111" s="53">
        <f t="shared" si="20"/>
        <v>279.21874327500007</v>
      </c>
      <c r="M111" s="53">
        <f t="shared" si="21"/>
        <v>203.19990764302071</v>
      </c>
      <c r="N111" s="52">
        <f t="shared" si="27"/>
        <v>269.3499012533162</v>
      </c>
      <c r="O111" s="52">
        <f t="shared" si="22"/>
        <v>265.0710279142582</v>
      </c>
      <c r="P111" s="52">
        <f t="shared" si="23"/>
        <v>260.46100241808335</v>
      </c>
      <c r="Q111" s="52">
        <f t="shared" si="24"/>
        <v>273.04816205079283</v>
      </c>
      <c r="R111" s="52">
        <f t="shared" si="25"/>
        <v>246.94367299360809</v>
      </c>
      <c r="S111" s="52">
        <f t="shared" si="26"/>
        <v>248.37350863620463</v>
      </c>
    </row>
    <row r="112" spans="1:19" x14ac:dyDescent="0.3">
      <c r="A112" s="25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22" t="s">
        <v>21</v>
      </c>
      <c r="H112" s="22">
        <v>26.2</v>
      </c>
      <c r="I112" s="22">
        <v>25.4</v>
      </c>
      <c r="J112" s="21">
        <v>0.71966527196652719</v>
      </c>
      <c r="K112" s="53">
        <f t="shared" si="19"/>
        <v>281.96999082390749</v>
      </c>
      <c r="L112" s="53">
        <f t="shared" si="20"/>
        <v>425.30600536799994</v>
      </c>
      <c r="M112" s="53">
        <f t="shared" si="21"/>
        <v>260.86112578540911</v>
      </c>
      <c r="N112" s="52">
        <f t="shared" si="27"/>
        <v>516.81003094250354</v>
      </c>
      <c r="O112" s="52">
        <f t="shared" si="22"/>
        <v>701.42082060585767</v>
      </c>
      <c r="P112" s="52">
        <f t="shared" si="23"/>
        <v>673.31192321658455</v>
      </c>
      <c r="Q112" s="52">
        <f t="shared" si="24"/>
        <v>561.8682444819467</v>
      </c>
      <c r="R112" s="52">
        <f t="shared" si="25"/>
        <v>452.11296238163447</v>
      </c>
      <c r="S112" s="52">
        <f t="shared" si="26"/>
        <v>440.59499964297055</v>
      </c>
    </row>
    <row r="113" spans="1:19" x14ac:dyDescent="0.3">
      <c r="A113" s="25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22" t="s">
        <v>21</v>
      </c>
      <c r="H113" s="22">
        <v>13.4</v>
      </c>
      <c r="I113" s="22">
        <v>9.1999999999999993</v>
      </c>
      <c r="J113" s="21">
        <v>0.52684563758389258</v>
      </c>
      <c r="K113" s="53">
        <f t="shared" si="19"/>
        <v>35.635123737706081</v>
      </c>
      <c r="L113" s="53">
        <f t="shared" si="20"/>
        <v>40.296065136000003</v>
      </c>
      <c r="M113" s="53">
        <f t="shared" si="21"/>
        <v>28.524539263019143</v>
      </c>
      <c r="N113" s="52">
        <f t="shared" si="27"/>
        <v>60.389994146942342</v>
      </c>
      <c r="O113" s="52">
        <f t="shared" si="22"/>
        <v>48.651095092617439</v>
      </c>
      <c r="P113" s="52">
        <f t="shared" si="23"/>
        <v>49.790161749182154</v>
      </c>
      <c r="Q113" s="52">
        <f t="shared" si="24"/>
        <v>69.084035106412657</v>
      </c>
      <c r="R113" s="52">
        <f t="shared" si="25"/>
        <v>68.45445714685799</v>
      </c>
      <c r="S113" s="52">
        <f t="shared" si="26"/>
        <v>67.736354878089429</v>
      </c>
    </row>
    <row r="114" spans="1:19" x14ac:dyDescent="0.3">
      <c r="A114" s="25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22" t="s">
        <v>21</v>
      </c>
      <c r="H114" s="22">
        <v>18.2</v>
      </c>
      <c r="I114" s="22">
        <v>15.5</v>
      </c>
      <c r="J114" s="21">
        <v>0.48806366047745359</v>
      </c>
      <c r="K114" s="53">
        <f t="shared" si="19"/>
        <v>93.913369430866794</v>
      </c>
      <c r="L114" s="53">
        <f t="shared" si="20"/>
        <v>125.23902845999999</v>
      </c>
      <c r="M114" s="53">
        <f t="shared" si="21"/>
        <v>81.246502331361285</v>
      </c>
      <c r="N114" s="52">
        <f t="shared" si="27"/>
        <v>175.49391333885745</v>
      </c>
      <c r="O114" s="52">
        <f t="shared" si="22"/>
        <v>140.07568496551721</v>
      </c>
      <c r="P114" s="52">
        <f t="shared" si="23"/>
        <v>139.76266990555814</v>
      </c>
      <c r="Q114" s="52">
        <f t="shared" si="24"/>
        <v>144.94334119994252</v>
      </c>
      <c r="R114" s="52">
        <f t="shared" si="25"/>
        <v>126.24041006442975</v>
      </c>
      <c r="S114" s="52">
        <f t="shared" si="26"/>
        <v>125.60874480900881</v>
      </c>
    </row>
    <row r="115" spans="1:19" x14ac:dyDescent="0.3">
      <c r="A115" s="25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22" t="s">
        <v>21</v>
      </c>
      <c r="H115" s="22">
        <v>13.7</v>
      </c>
      <c r="I115" s="22">
        <v>8.9</v>
      </c>
      <c r="J115" s="21">
        <v>0.50764525993883791</v>
      </c>
      <c r="K115" s="53">
        <f t="shared" si="19"/>
        <v>37.091472251702669</v>
      </c>
      <c r="L115" s="53">
        <f t="shared" si="20"/>
        <v>40.747067312999995</v>
      </c>
      <c r="M115" s="53">
        <f t="shared" si="21"/>
        <v>29.437278662574503</v>
      </c>
      <c r="N115" s="52">
        <f t="shared" si="27"/>
        <v>58.682250152619801</v>
      </c>
      <c r="O115" s="52">
        <f t="shared" si="22"/>
        <v>47.402722371253816</v>
      </c>
      <c r="P115" s="52">
        <f t="shared" si="23"/>
        <v>48.542835974039988</v>
      </c>
      <c r="Q115" s="52">
        <f t="shared" si="24"/>
        <v>68.771291653211193</v>
      </c>
      <c r="R115" s="52">
        <f t="shared" si="25"/>
        <v>69.01634104241144</v>
      </c>
      <c r="S115" s="52">
        <f t="shared" si="26"/>
        <v>68.443023844805893</v>
      </c>
    </row>
    <row r="116" spans="1:19" x14ac:dyDescent="0.3">
      <c r="A116" s="25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22" t="s">
        <v>21</v>
      </c>
      <c r="H116" s="22">
        <v>13.9</v>
      </c>
      <c r="I116" s="22">
        <v>12.3</v>
      </c>
      <c r="J116" s="21">
        <v>0.54304635761589404</v>
      </c>
      <c r="K116" s="53">
        <f t="shared" si="19"/>
        <v>44.073303437249265</v>
      </c>
      <c r="L116" s="53">
        <f t="shared" si="20"/>
        <v>57.969549819000008</v>
      </c>
      <c r="M116" s="53">
        <f t="shared" si="21"/>
        <v>37.26970808159227</v>
      </c>
      <c r="N116" s="52">
        <f t="shared" si="27"/>
        <v>96.437222959735195</v>
      </c>
      <c r="O116" s="52">
        <f t="shared" si="22"/>
        <v>72.14121043311259</v>
      </c>
      <c r="P116" s="52">
        <f t="shared" si="23"/>
        <v>73.135487808863445</v>
      </c>
      <c r="Q116" s="52">
        <f t="shared" si="24"/>
        <v>85.112630744970375</v>
      </c>
      <c r="R116" s="52">
        <f t="shared" si="25"/>
        <v>77.048819414132097</v>
      </c>
      <c r="S116" s="52">
        <f t="shared" si="26"/>
        <v>76.119420283113186</v>
      </c>
    </row>
    <row r="117" spans="1:19" x14ac:dyDescent="0.3">
      <c r="A117" s="25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22" t="s">
        <v>21</v>
      </c>
      <c r="H117" s="22">
        <v>17.7</v>
      </c>
      <c r="I117" s="22">
        <v>16.5</v>
      </c>
      <c r="J117" s="21">
        <v>0.56195965417867433</v>
      </c>
      <c r="K117" s="53">
        <f t="shared" si="19"/>
        <v>90.088457330316984</v>
      </c>
      <c r="L117" s="53">
        <f t="shared" si="20"/>
        <v>126.094369005</v>
      </c>
      <c r="M117" s="53">
        <f t="shared" si="21"/>
        <v>79.109803492987936</v>
      </c>
      <c r="N117" s="52">
        <f t="shared" si="27"/>
        <v>187.68584034807049</v>
      </c>
      <c r="O117" s="52">
        <f t="shared" si="22"/>
        <v>162.38556525216137</v>
      </c>
      <c r="P117" s="52">
        <f t="shared" si="23"/>
        <v>161.44902365326683</v>
      </c>
      <c r="Q117" s="52">
        <f t="shared" si="24"/>
        <v>162.49734376781083</v>
      </c>
      <c r="R117" s="52">
        <f t="shared" si="25"/>
        <v>139.15317633184202</v>
      </c>
      <c r="S117" s="52">
        <f t="shared" si="26"/>
        <v>137.33223047919404</v>
      </c>
    </row>
    <row r="118" spans="1:19" x14ac:dyDescent="0.3">
      <c r="A118" s="25" t="s">
        <v>75</v>
      </c>
      <c r="B118" s="5" t="s">
        <v>26</v>
      </c>
      <c r="C118" s="22">
        <v>1</v>
      </c>
      <c r="D118" s="22">
        <v>3</v>
      </c>
      <c r="E118" s="22">
        <v>2</v>
      </c>
      <c r="F118" s="22">
        <v>1218</v>
      </c>
      <c r="G118" s="22" t="s">
        <v>21</v>
      </c>
      <c r="H118" s="29">
        <f>SQRT(12.8^2 + 15.4^2 + 11.7^2 + 12.2^2 + 14^2 + 14.3^2)</f>
        <v>32.973019273339226</v>
      </c>
      <c r="I118" s="22">
        <v>10.6</v>
      </c>
      <c r="J118" s="21">
        <v>0.77419354838709675</v>
      </c>
      <c r="K118" s="53">
        <f t="shared" si="19"/>
        <v>341.52411303325323</v>
      </c>
      <c r="L118" s="53">
        <f t="shared" si="20"/>
        <v>281.11790907599999</v>
      </c>
      <c r="M118" s="53">
        <f t="shared" si="21"/>
        <v>260.03106369353782</v>
      </c>
      <c r="N118" s="52">
        <f t="shared" si="27"/>
        <v>173.98014254060726</v>
      </c>
      <c r="O118" s="52">
        <f t="shared" si="22"/>
        <v>498.75200423225806</v>
      </c>
      <c r="P118" s="52">
        <f t="shared" si="23"/>
        <v>482.69918099264936</v>
      </c>
      <c r="Q118" s="52">
        <f t="shared" si="24"/>
        <v>733.59362743466488</v>
      </c>
      <c r="R118" s="52">
        <f t="shared" si="25"/>
        <v>830.93597369149086</v>
      </c>
      <c r="S118" s="52">
        <f t="shared" si="26"/>
        <v>807.10208595961956</v>
      </c>
    </row>
    <row r="119" spans="1:19" x14ac:dyDescent="0.3">
      <c r="A119" s="25" t="s">
        <v>75</v>
      </c>
      <c r="B119" s="5" t="s">
        <v>26</v>
      </c>
      <c r="C119" s="22">
        <v>1</v>
      </c>
      <c r="D119" s="22">
        <v>2</v>
      </c>
      <c r="E119" s="22">
        <v>2</v>
      </c>
      <c r="F119" s="22">
        <v>1357</v>
      </c>
      <c r="G119" s="22" t="s">
        <v>21</v>
      </c>
      <c r="H119" s="29">
        <f>SQRT(17^2+22.3^2)</f>
        <v>28.040863039500049</v>
      </c>
      <c r="I119" s="22">
        <v>10.6</v>
      </c>
      <c r="J119" s="21">
        <v>0.70508474576271185</v>
      </c>
      <c r="K119" s="53">
        <f t="shared" si="19"/>
        <v>229.87350039465781</v>
      </c>
      <c r="L119" s="53">
        <f t="shared" si="20"/>
        <v>203.307702882</v>
      </c>
      <c r="M119" s="53">
        <f t="shared" si="21"/>
        <v>177.50810026948128</v>
      </c>
      <c r="N119" s="52">
        <f t="shared" si="27"/>
        <v>149.39610058097563</v>
      </c>
      <c r="O119" s="52">
        <f t="shared" si="22"/>
        <v>328.50481875525418</v>
      </c>
      <c r="P119" s="52">
        <f t="shared" si="23"/>
        <v>321.13369942874283</v>
      </c>
      <c r="Q119" s="52">
        <f t="shared" si="24"/>
        <v>471.24352896407055</v>
      </c>
      <c r="R119" s="52">
        <f t="shared" si="25"/>
        <v>515.76969935048851</v>
      </c>
      <c r="S119" s="52">
        <f t="shared" si="26"/>
        <v>503.34767497036893</v>
      </c>
    </row>
    <row r="120" spans="1:19" x14ac:dyDescent="0.3">
      <c r="A120" s="25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22" t="s">
        <v>21</v>
      </c>
      <c r="H120" s="22">
        <v>10.8</v>
      </c>
      <c r="I120" s="22">
        <v>11.9</v>
      </c>
      <c r="J120" s="21">
        <v>0.79661016949152541</v>
      </c>
      <c r="K120" s="53">
        <f t="shared" si="19"/>
        <v>23.459757883099737</v>
      </c>
      <c r="L120" s="53">
        <f t="shared" si="20"/>
        <v>33.857874288000012</v>
      </c>
      <c r="M120" s="53">
        <f t="shared" si="21"/>
        <v>20.145214770350766</v>
      </c>
      <c r="N120" s="52">
        <f t="shared" si="27"/>
        <v>72.404520854523639</v>
      </c>
      <c r="O120" s="52">
        <f t="shared" si="22"/>
        <v>61.809058250847464</v>
      </c>
      <c r="P120" s="52">
        <f t="shared" si="23"/>
        <v>62.893826058894199</v>
      </c>
      <c r="Q120" s="52">
        <f t="shared" si="24"/>
        <v>74.661647430156137</v>
      </c>
      <c r="R120" s="52">
        <f t="shared" si="25"/>
        <v>67.064667523030209</v>
      </c>
      <c r="S120" s="52">
        <f t="shared" si="26"/>
        <v>64.75970516769685</v>
      </c>
    </row>
    <row r="121" spans="1:19" x14ac:dyDescent="0.3">
      <c r="A121" s="25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22" t="s">
        <v>21</v>
      </c>
      <c r="H121" s="22">
        <v>21.3</v>
      </c>
      <c r="I121" s="22">
        <v>17.899999999999999</v>
      </c>
      <c r="J121" s="21">
        <v>0.75510204081632648</v>
      </c>
      <c r="K121" s="53">
        <f t="shared" si="19"/>
        <v>146.5928783098862</v>
      </c>
      <c r="L121" s="53">
        <f t="shared" si="20"/>
        <v>198.09679704300001</v>
      </c>
      <c r="M121" s="53">
        <f t="shared" si="21"/>
        <v>128.75051601449147</v>
      </c>
      <c r="N121" s="52">
        <f t="shared" si="27"/>
        <v>252.25778718838637</v>
      </c>
      <c r="O121" s="52">
        <f t="shared" si="22"/>
        <v>342.7912200673469</v>
      </c>
      <c r="P121" s="52">
        <f t="shared" si="23"/>
        <v>334.75734669186596</v>
      </c>
      <c r="Q121" s="52">
        <f t="shared" si="24"/>
        <v>339.39760515110208</v>
      </c>
      <c r="R121" s="52">
        <f t="shared" si="25"/>
        <v>297.63862446772606</v>
      </c>
      <c r="S121" s="52">
        <f t="shared" si="26"/>
        <v>289.03352768713961</v>
      </c>
    </row>
    <row r="122" spans="1:19" x14ac:dyDescent="0.3">
      <c r="A122" s="25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22" t="s">
        <v>21</v>
      </c>
      <c r="H122" s="22">
        <v>11.9</v>
      </c>
      <c r="I122" s="22">
        <v>13.4</v>
      </c>
      <c r="J122" s="21">
        <v>0.75838926174496646</v>
      </c>
      <c r="K122" s="53">
        <f t="shared" si="19"/>
        <v>31.266949802560418</v>
      </c>
      <c r="L122" s="53">
        <f t="shared" si="20"/>
        <v>46.287522582000008</v>
      </c>
      <c r="M122" s="53">
        <f t="shared" si="21"/>
        <v>27.263354816752152</v>
      </c>
      <c r="N122" s="52">
        <f t="shared" si="27"/>
        <v>94.701696089932511</v>
      </c>
      <c r="O122" s="52">
        <f t="shared" si="22"/>
        <v>80.445675743624165</v>
      </c>
      <c r="P122" s="52">
        <f t="shared" si="23"/>
        <v>81.341425469080789</v>
      </c>
      <c r="Q122" s="52">
        <f t="shared" si="24"/>
        <v>90.470979779618958</v>
      </c>
      <c r="R122" s="52">
        <f t="shared" si="25"/>
        <v>79.126794956351546</v>
      </c>
      <c r="S122" s="52">
        <f t="shared" si="26"/>
        <v>76.650329251015606</v>
      </c>
    </row>
    <row r="123" spans="1:19" x14ac:dyDescent="0.3">
      <c r="A123" s="25" t="s">
        <v>75</v>
      </c>
      <c r="B123" s="19" t="s">
        <v>44</v>
      </c>
      <c r="C123" s="22">
        <v>2</v>
      </c>
      <c r="D123" s="22">
        <v>2</v>
      </c>
      <c r="E123" s="22">
        <v>2</v>
      </c>
      <c r="F123" s="22">
        <v>384</v>
      </c>
      <c r="G123" s="22" t="s">
        <v>21</v>
      </c>
      <c r="H123" s="29">
        <f>SQRT(18.5^2+17^2+7^2+8.7^2+12.1^2+4.3^2)</f>
        <v>30.345345606863663</v>
      </c>
      <c r="I123" s="22">
        <v>15.3</v>
      </c>
      <c r="J123" s="21"/>
      <c r="K123" s="53">
        <f t="shared" si="19"/>
        <v>325.69703402887114</v>
      </c>
      <c r="L123" s="53">
        <f t="shared" si="20"/>
        <v>343.66936683599994</v>
      </c>
      <c r="M123" s="53">
        <f t="shared" si="21"/>
        <v>268.8043259998002</v>
      </c>
      <c r="N123" s="52">
        <f t="shared" si="27"/>
        <v>278.34733170925051</v>
      </c>
      <c r="O123" s="52">
        <f t="shared" si="22"/>
        <v>0</v>
      </c>
      <c r="P123" s="52">
        <f t="shared" si="23"/>
        <v>0</v>
      </c>
      <c r="Q123" s="52" t="e">
        <f t="shared" si="24"/>
        <v>#NUM!</v>
      </c>
      <c r="R123" s="52" t="e">
        <f t="shared" si="25"/>
        <v>#NUM!</v>
      </c>
      <c r="S123" s="52" t="e">
        <f t="shared" si="26"/>
        <v>#NUM!</v>
      </c>
    </row>
    <row r="124" spans="1:19" x14ac:dyDescent="0.3">
      <c r="A124" s="25" t="s">
        <v>76</v>
      </c>
      <c r="B124" s="19" t="s">
        <v>38</v>
      </c>
      <c r="C124" s="22">
        <v>2</v>
      </c>
      <c r="D124" s="22">
        <v>1</v>
      </c>
      <c r="E124" s="22">
        <v>1</v>
      </c>
      <c r="F124" s="22">
        <v>242</v>
      </c>
      <c r="G124" s="22" t="s">
        <v>21</v>
      </c>
      <c r="H124" s="22">
        <v>11</v>
      </c>
      <c r="I124" s="22">
        <v>9</v>
      </c>
      <c r="J124" s="21">
        <v>0.67080745341614911</v>
      </c>
      <c r="K124" s="53">
        <f t="shared" si="19"/>
        <v>21.797648714839099</v>
      </c>
      <c r="L124" s="53">
        <f t="shared" si="20"/>
        <v>26.563977000000001</v>
      </c>
      <c r="M124" s="53">
        <f t="shared" si="21"/>
        <v>17.672662841440772</v>
      </c>
      <c r="N124" s="52">
        <f t="shared" si="27"/>
        <v>48.542699145954231</v>
      </c>
      <c r="O124" s="52">
        <f t="shared" si="22"/>
        <v>40.835470807453419</v>
      </c>
      <c r="P124" s="52">
        <f t="shared" si="23"/>
        <v>41.967568234387777</v>
      </c>
      <c r="Q124" s="52">
        <f t="shared" si="24"/>
        <v>58.650623882365572</v>
      </c>
      <c r="R124" s="52">
        <f t="shared" si="25"/>
        <v>57.469968900474441</v>
      </c>
      <c r="S124" s="52">
        <f t="shared" si="26"/>
        <v>56.046013869455415</v>
      </c>
    </row>
    <row r="125" spans="1:19" x14ac:dyDescent="0.3">
      <c r="A125" s="25" t="s">
        <v>76</v>
      </c>
      <c r="B125" s="19" t="s">
        <v>38</v>
      </c>
      <c r="C125" s="22">
        <v>2</v>
      </c>
      <c r="D125" s="22">
        <v>1</v>
      </c>
      <c r="E125" s="22">
        <v>2</v>
      </c>
      <c r="F125" s="22">
        <v>254</v>
      </c>
      <c r="G125" s="22" t="s">
        <v>21</v>
      </c>
      <c r="H125" s="22">
        <v>11.5</v>
      </c>
      <c r="I125" s="22">
        <v>13.4</v>
      </c>
      <c r="J125" s="21">
        <v>0.73529411764705888</v>
      </c>
      <c r="K125" s="53">
        <f t="shared" si="19"/>
        <v>28.760989756863481</v>
      </c>
      <c r="L125" s="53">
        <f t="shared" si="20"/>
        <v>43.228054950000008</v>
      </c>
      <c r="M125" s="53">
        <f t="shared" si="21"/>
        <v>25.153024153258809</v>
      </c>
      <c r="N125" s="52">
        <f t="shared" si="27"/>
        <v>91.705713182981071</v>
      </c>
      <c r="O125" s="52">
        <f t="shared" si="22"/>
        <v>72.840577205882354</v>
      </c>
      <c r="P125" s="52">
        <f t="shared" si="23"/>
        <v>73.827397145167581</v>
      </c>
      <c r="Q125" s="52">
        <f t="shared" si="24"/>
        <v>81.416489268982119</v>
      </c>
      <c r="R125" s="52">
        <f t="shared" si="25"/>
        <v>70.642420613786513</v>
      </c>
      <c r="S125" s="52">
        <f t="shared" si="26"/>
        <v>68.543536841046105</v>
      </c>
    </row>
    <row r="126" spans="1:19" x14ac:dyDescent="0.3">
      <c r="A126" s="25" t="s">
        <v>76</v>
      </c>
      <c r="B126" s="19" t="s">
        <v>24</v>
      </c>
      <c r="C126" s="22">
        <v>2</v>
      </c>
      <c r="D126" s="22">
        <v>3</v>
      </c>
      <c r="E126" s="22">
        <v>1</v>
      </c>
      <c r="F126" s="22">
        <v>677</v>
      </c>
      <c r="G126" s="22" t="s">
        <v>21</v>
      </c>
      <c r="H126" s="22">
        <v>10.5</v>
      </c>
      <c r="I126" s="22">
        <v>4.9000000000000004</v>
      </c>
      <c r="J126" s="21">
        <v>0.77319587628865982</v>
      </c>
      <c r="K126" s="53">
        <f t="shared" si="19"/>
        <v>15.03816996843894</v>
      </c>
      <c r="L126" s="53">
        <f t="shared" si="20"/>
        <v>13.177708425000001</v>
      </c>
      <c r="M126" s="53">
        <f t="shared" si="21"/>
        <v>10.84010682394144</v>
      </c>
      <c r="N126" s="52">
        <f t="shared" si="27"/>
        <v>18.743423170454584</v>
      </c>
      <c r="O126" s="52">
        <f t="shared" si="22"/>
        <v>23.349415592783505</v>
      </c>
      <c r="P126" s="52">
        <f t="shared" si="23"/>
        <v>24.320837754272034</v>
      </c>
      <c r="Q126" s="52">
        <f t="shared" si="24"/>
        <v>50.385968663590205</v>
      </c>
      <c r="R126" s="52">
        <f t="shared" si="25"/>
        <v>60.778562013586637</v>
      </c>
      <c r="S126" s="52">
        <f t="shared" si="26"/>
        <v>58.783416328805018</v>
      </c>
    </row>
    <row r="127" spans="1:19" x14ac:dyDescent="0.3">
      <c r="A127" s="25" t="s">
        <v>77</v>
      </c>
      <c r="B127" s="7" t="s">
        <v>30</v>
      </c>
      <c r="C127" s="16">
        <v>1</v>
      </c>
      <c r="D127" s="16">
        <v>1</v>
      </c>
      <c r="E127" s="16">
        <v>2</v>
      </c>
      <c r="F127" s="16">
        <v>1314</v>
      </c>
      <c r="G127" s="16" t="s">
        <v>21</v>
      </c>
      <c r="H127" s="21">
        <v>16.5</v>
      </c>
      <c r="I127" s="16">
        <v>15.3</v>
      </c>
      <c r="J127" s="16">
        <v>0.75735244099999999</v>
      </c>
      <c r="K127" s="53">
        <f t="shared" si="19"/>
        <v>73.499080795266934</v>
      </c>
      <c r="L127" s="53">
        <f t="shared" si="20"/>
        <v>101.60721202500001</v>
      </c>
      <c r="M127" s="53">
        <f t="shared" si="21"/>
        <v>63.964385510257173</v>
      </c>
      <c r="N127" s="52">
        <f t="shared" si="27"/>
        <v>156.96345458332061</v>
      </c>
      <c r="O127" s="52">
        <f t="shared" si="22"/>
        <v>176.34743884778055</v>
      </c>
      <c r="P127" s="52">
        <f t="shared" si="23"/>
        <v>174.98363603353306</v>
      </c>
      <c r="Q127" s="52">
        <f t="shared" si="24"/>
        <v>188.33710380350232</v>
      </c>
      <c r="R127" s="52">
        <f t="shared" si="25"/>
        <v>166.67000844957045</v>
      </c>
      <c r="S127" s="52">
        <f t="shared" si="26"/>
        <v>161.66693081188021</v>
      </c>
    </row>
    <row r="128" spans="1:19" x14ac:dyDescent="0.3">
      <c r="A128" s="25" t="s">
        <v>77</v>
      </c>
      <c r="B128" s="7" t="s">
        <v>30</v>
      </c>
      <c r="C128" s="16">
        <v>1</v>
      </c>
      <c r="D128" s="16">
        <v>1</v>
      </c>
      <c r="E128" s="16">
        <v>1</v>
      </c>
      <c r="F128" s="16">
        <v>1306</v>
      </c>
      <c r="G128" s="16" t="s">
        <v>21</v>
      </c>
      <c r="H128" s="21">
        <v>24.6</v>
      </c>
      <c r="I128" s="16">
        <v>17.5</v>
      </c>
      <c r="J128" s="16">
        <v>0.65525423699999996</v>
      </c>
      <c r="K128" s="53">
        <f t="shared" si="19"/>
        <v>206.4432042633467</v>
      </c>
      <c r="L128" s="53">
        <f t="shared" si="20"/>
        <v>258.32918790000002</v>
      </c>
      <c r="M128" s="53">
        <f t="shared" si="21"/>
        <v>178.24944615522588</v>
      </c>
      <c r="N128" s="52">
        <f t="shared" si="27"/>
        <v>279.25712743219509</v>
      </c>
      <c r="O128" s="52">
        <f t="shared" si="22"/>
        <v>387.90904708705153</v>
      </c>
      <c r="P128" s="52">
        <f t="shared" si="23"/>
        <v>377.69525652615175</v>
      </c>
      <c r="Q128" s="52">
        <f t="shared" si="24"/>
        <v>391.76452658691107</v>
      </c>
      <c r="R128" s="52">
        <f t="shared" si="25"/>
        <v>351.74667435405649</v>
      </c>
      <c r="S128" s="52">
        <f t="shared" si="26"/>
        <v>344.54326603463346</v>
      </c>
    </row>
    <row r="129" spans="1:19" x14ac:dyDescent="0.3">
      <c r="A129" s="25" t="s">
        <v>77</v>
      </c>
      <c r="B129" s="7" t="s">
        <v>20</v>
      </c>
      <c r="C129" s="16">
        <v>1</v>
      </c>
      <c r="D129" s="16">
        <v>2</v>
      </c>
      <c r="E129" s="16">
        <v>2</v>
      </c>
      <c r="F129" s="16">
        <v>7469</v>
      </c>
      <c r="G129" s="16" t="s">
        <v>21</v>
      </c>
      <c r="H129" s="21">
        <v>28.6</v>
      </c>
      <c r="I129" s="16">
        <v>20.2</v>
      </c>
      <c r="J129" s="16">
        <v>0.74020527800000002</v>
      </c>
      <c r="K129" s="53">
        <f t="shared" si="19"/>
        <v>317.00614746405529</v>
      </c>
      <c r="L129" s="53">
        <f t="shared" si="20"/>
        <v>403.04046525600006</v>
      </c>
      <c r="M129" s="53">
        <f t="shared" si="21"/>
        <v>278.01165131297915</v>
      </c>
      <c r="N129" s="52">
        <f t="shared" si="27"/>
        <v>398.63085541186723</v>
      </c>
      <c r="O129" s="52">
        <f t="shared" si="22"/>
        <v>683.67141357441619</v>
      </c>
      <c r="P129" s="52">
        <f t="shared" si="23"/>
        <v>656.67763088313222</v>
      </c>
      <c r="Q129" s="52">
        <f t="shared" si="24"/>
        <v>644.59924393682184</v>
      </c>
      <c r="R129" s="52">
        <f t="shared" si="25"/>
        <v>570.36486842356067</v>
      </c>
      <c r="S129" s="52">
        <f t="shared" si="26"/>
        <v>555.12676046858053</v>
      </c>
    </row>
    <row r="130" spans="1:19" x14ac:dyDescent="0.3">
      <c r="A130" s="25" t="s">
        <v>77</v>
      </c>
      <c r="B130" s="7" t="s">
        <v>26</v>
      </c>
      <c r="C130" s="16">
        <v>2</v>
      </c>
      <c r="D130" s="16">
        <v>3</v>
      </c>
      <c r="E130" s="16">
        <v>1</v>
      </c>
      <c r="F130" s="16">
        <v>651</v>
      </c>
      <c r="G130" s="16" t="s">
        <v>21</v>
      </c>
      <c r="H130" s="21">
        <v>11.8</v>
      </c>
      <c r="I130" s="16">
        <v>9.5</v>
      </c>
      <c r="J130" s="16">
        <v>0.70946454000000003</v>
      </c>
      <c r="K130" s="53">
        <f t="shared" si="19"/>
        <v>26.476011234385098</v>
      </c>
      <c r="L130" s="53">
        <f t="shared" si="20"/>
        <v>32.266572540000006</v>
      </c>
      <c r="M130" s="53">
        <f t="shared" si="21"/>
        <v>21.566880670443862</v>
      </c>
      <c r="N130" s="52">
        <f t="shared" ref="N130:N161" si="28">10^(-0.717903255+0.940214879*LOG10(H130)+1.345432588*LOG10(I130)*1.109844005)</f>
        <v>56.215086609727123</v>
      </c>
      <c r="O130" s="52">
        <f t="shared" si="22"/>
        <v>52.460221685965081</v>
      </c>
      <c r="P130" s="52">
        <f t="shared" si="23"/>
        <v>53.591429095261901</v>
      </c>
      <c r="Q130" s="52">
        <f t="shared" si="24"/>
        <v>73.585987010627235</v>
      </c>
      <c r="R130" s="52">
        <f t="shared" si="25"/>
        <v>71.924223006387166</v>
      </c>
      <c r="S130" s="52">
        <f t="shared" si="26"/>
        <v>69.93674290505966</v>
      </c>
    </row>
    <row r="131" spans="1:19" x14ac:dyDescent="0.3">
      <c r="A131" s="25" t="s">
        <v>77</v>
      </c>
      <c r="B131" s="7" t="s">
        <v>20</v>
      </c>
      <c r="C131" s="16">
        <v>2</v>
      </c>
      <c r="D131" s="16">
        <v>3</v>
      </c>
      <c r="E131" s="16">
        <v>1</v>
      </c>
      <c r="F131" s="16">
        <v>714</v>
      </c>
      <c r="G131" s="16" t="s">
        <v>21</v>
      </c>
      <c r="H131" s="21">
        <v>32.700000000000003</v>
      </c>
      <c r="I131" s="16">
        <v>11.9</v>
      </c>
      <c r="J131" s="16">
        <v>0.67114569800000001</v>
      </c>
      <c r="K131" s="53">
        <f t="shared" si="19"/>
        <v>351.46390570298178</v>
      </c>
      <c r="L131" s="53">
        <f t="shared" si="20"/>
        <v>310.38997254300011</v>
      </c>
      <c r="M131" s="53">
        <f t="shared" si="21"/>
        <v>274.06131941217939</v>
      </c>
      <c r="N131" s="52">
        <f t="shared" si="28"/>
        <v>205.17555869038333</v>
      </c>
      <c r="O131" s="52">
        <f t="shared" si="22"/>
        <v>477.38754634110649</v>
      </c>
      <c r="P131" s="52">
        <f t="shared" si="23"/>
        <v>462.50807442063626</v>
      </c>
      <c r="Q131" s="52">
        <f t="shared" si="24"/>
        <v>642.84923476199901</v>
      </c>
      <c r="R131" s="52">
        <f t="shared" si="25"/>
        <v>692.58297046222197</v>
      </c>
      <c r="S131" s="52">
        <f t="shared" si="26"/>
        <v>678.20512113580662</v>
      </c>
    </row>
    <row r="132" spans="1:19" x14ac:dyDescent="0.3">
      <c r="A132" s="25" t="s">
        <v>77</v>
      </c>
      <c r="B132" s="7" t="s">
        <v>44</v>
      </c>
      <c r="C132" s="16">
        <v>2</v>
      </c>
      <c r="D132" s="16">
        <v>2</v>
      </c>
      <c r="E132" s="16">
        <v>1</v>
      </c>
      <c r="F132" s="16">
        <v>359</v>
      </c>
      <c r="G132" s="16" t="s">
        <v>21</v>
      </c>
      <c r="H132" s="21">
        <v>38.6</v>
      </c>
      <c r="I132" s="16">
        <v>19.8</v>
      </c>
      <c r="J132" s="16">
        <v>0.69286545499999996</v>
      </c>
      <c r="K132" s="53">
        <f t="shared" si="19"/>
        <v>653.98099322685073</v>
      </c>
      <c r="L132" s="53">
        <f t="shared" si="20"/>
        <v>719.62296674400011</v>
      </c>
      <c r="M132" s="53">
        <f t="shared" si="21"/>
        <v>556.52857493898659</v>
      </c>
      <c r="N132" s="52">
        <f t="shared" si="28"/>
        <v>512.9045002617778</v>
      </c>
      <c r="O132" s="52">
        <f t="shared" si="22"/>
        <v>1142.6165658319028</v>
      </c>
      <c r="P132" s="52">
        <f t="shared" si="23"/>
        <v>1084.0568139281822</v>
      </c>
      <c r="Q132" s="52">
        <f t="shared" si="24"/>
        <v>1122.5093143692143</v>
      </c>
      <c r="R132" s="52">
        <f t="shared" si="25"/>
        <v>1049.1128163552435</v>
      </c>
      <c r="S132" s="52">
        <f t="shared" si="26"/>
        <v>1026.1134639654069</v>
      </c>
    </row>
    <row r="133" spans="1:19" x14ac:dyDescent="0.3">
      <c r="A133" s="25" t="s">
        <v>78</v>
      </c>
      <c r="B133" s="13" t="s">
        <v>38</v>
      </c>
      <c r="C133" s="23">
        <v>1</v>
      </c>
      <c r="D133" s="23">
        <v>1</v>
      </c>
      <c r="E133" s="23"/>
      <c r="F133" s="23">
        <v>337</v>
      </c>
      <c r="G133" s="14" t="s">
        <v>21</v>
      </c>
      <c r="H133" s="24">
        <v>46.2</v>
      </c>
      <c r="I133" s="23">
        <v>20.5</v>
      </c>
      <c r="J133" s="16">
        <v>0.34851888800000003</v>
      </c>
      <c r="K133" s="53">
        <f t="shared" si="19"/>
        <v>1029.6083739389062</v>
      </c>
      <c r="L133" s="53">
        <f t="shared" si="20"/>
        <v>1067.3405958600001</v>
      </c>
      <c r="M133" s="53">
        <f t="shared" si="21"/>
        <v>868.5958335315247</v>
      </c>
      <c r="N133" s="52">
        <f t="shared" si="28"/>
        <v>639.66911453192836</v>
      </c>
      <c r="O133" s="52">
        <f t="shared" si="22"/>
        <v>852.46378834415202</v>
      </c>
      <c r="P133" s="52">
        <f t="shared" si="23"/>
        <v>814.48081106697123</v>
      </c>
      <c r="Q133" s="52">
        <f t="shared" si="24"/>
        <v>791.79786903099875</v>
      </c>
      <c r="R133" s="52">
        <f t="shared" si="25"/>
        <v>721.58290007123696</v>
      </c>
      <c r="S133" s="52">
        <f t="shared" si="26"/>
        <v>734.50704220666933</v>
      </c>
    </row>
    <row r="134" spans="1:19" x14ac:dyDescent="0.3">
      <c r="A134" s="25" t="s">
        <v>78</v>
      </c>
      <c r="B134" s="13" t="s">
        <v>30</v>
      </c>
      <c r="C134" s="23">
        <v>1</v>
      </c>
      <c r="D134" s="23">
        <v>1</v>
      </c>
      <c r="E134" s="23"/>
      <c r="F134" s="23">
        <v>192</v>
      </c>
      <c r="G134" s="14" t="s">
        <v>21</v>
      </c>
      <c r="H134" s="24">
        <v>29.5</v>
      </c>
      <c r="I134" s="23">
        <v>21.3</v>
      </c>
      <c r="J134" s="16">
        <v>0.39513025550000003</v>
      </c>
      <c r="K134" s="53">
        <f t="shared" si="19"/>
        <v>349.70371555523764</v>
      </c>
      <c r="L134" s="53">
        <f t="shared" si="20"/>
        <v>452.15657572500004</v>
      </c>
      <c r="M134" s="53">
        <f t="shared" si="21"/>
        <v>309.12216970824579</v>
      </c>
      <c r="N134" s="52">
        <f t="shared" si="28"/>
        <v>444.23078649597579</v>
      </c>
      <c r="O134" s="52">
        <f t="shared" si="22"/>
        <v>409.42629238041008</v>
      </c>
      <c r="P134" s="52">
        <f t="shared" si="23"/>
        <v>398.12976800021079</v>
      </c>
      <c r="Q134" s="52">
        <f t="shared" si="24"/>
        <v>356.37604784308303</v>
      </c>
      <c r="R134" s="52">
        <f t="shared" si="25"/>
        <v>298.90892405947159</v>
      </c>
      <c r="S134" s="52">
        <f t="shared" si="26"/>
        <v>301.57514769644587</v>
      </c>
    </row>
    <row r="135" spans="1:19" x14ac:dyDescent="0.3">
      <c r="A135" s="25" t="s">
        <v>78</v>
      </c>
      <c r="B135" s="13" t="s">
        <v>30</v>
      </c>
      <c r="C135" s="23">
        <v>1</v>
      </c>
      <c r="D135" s="23">
        <v>1</v>
      </c>
      <c r="E135" s="23"/>
      <c r="F135" s="23">
        <v>217</v>
      </c>
      <c r="G135" s="14" t="s">
        <v>21</v>
      </c>
      <c r="H135" s="24">
        <v>20.7</v>
      </c>
      <c r="I135" s="23">
        <v>11.7</v>
      </c>
      <c r="J135" s="16">
        <v>0.36545761399999999</v>
      </c>
      <c r="K135" s="53">
        <f t="shared" si="19"/>
        <v>114.17401012337645</v>
      </c>
      <c r="L135" s="53">
        <f t="shared" si="20"/>
        <v>122.29023186899998</v>
      </c>
      <c r="M135" s="53">
        <f t="shared" si="21"/>
        <v>92.331081964242728</v>
      </c>
      <c r="N135" s="52">
        <f t="shared" si="28"/>
        <v>130.14528788855191</v>
      </c>
      <c r="O135" s="52">
        <f t="shared" si="22"/>
        <v>102.4177840449411</v>
      </c>
      <c r="P135" s="52">
        <f t="shared" si="23"/>
        <v>102.95975625215505</v>
      </c>
      <c r="Q135" s="52">
        <f t="shared" si="24"/>
        <v>126.56155076276887</v>
      </c>
      <c r="R135" s="52">
        <f t="shared" si="25"/>
        <v>121.7278551718767</v>
      </c>
      <c r="S135" s="52">
        <f t="shared" si="26"/>
        <v>123.19636056225116</v>
      </c>
    </row>
    <row r="136" spans="1:19" x14ac:dyDescent="0.3">
      <c r="A136" s="25" t="s">
        <v>78</v>
      </c>
      <c r="B136" s="19" t="s">
        <v>38</v>
      </c>
      <c r="C136" s="22">
        <v>2</v>
      </c>
      <c r="D136" s="22">
        <v>3</v>
      </c>
      <c r="E136" s="22">
        <v>1</v>
      </c>
      <c r="F136" s="22">
        <v>615</v>
      </c>
      <c r="G136" s="22" t="s">
        <v>21</v>
      </c>
      <c r="H136" s="21">
        <v>35</v>
      </c>
      <c r="I136" s="16">
        <v>16.600000000000001</v>
      </c>
      <c r="J136" s="16">
        <v>0.44823586999999998</v>
      </c>
      <c r="K136" s="53">
        <f t="shared" ref="K136:K180" si="29">(0.02453 *(H136^2.443356)*(I136^0.423602))</f>
        <v>477.79950456275907</v>
      </c>
      <c r="L136" s="53">
        <f t="shared" ref="L136:L180" si="30">0.024393*((H136^2)*I136)</f>
        <v>496.03165500000006</v>
      </c>
      <c r="M136" s="53">
        <f t="shared" ref="M136:M180" si="31">(0.01579*(H136^2.356307)*(I136^0.623614))</f>
        <v>395.87397928368239</v>
      </c>
      <c r="N136" s="52">
        <f t="shared" si="28"/>
        <v>359.53622144956159</v>
      </c>
      <c r="O136" s="52">
        <f t="shared" ref="O136:O180" si="32">((0.0559)*((J136*H136^2*I136)))</f>
        <v>509.521591679555</v>
      </c>
      <c r="P136" s="52">
        <f t="shared" ref="P136:P180" si="33">((0.0673)*((J136*H136^2*I136)^0.976))</f>
        <v>492.86937097590055</v>
      </c>
      <c r="Q136" s="52">
        <f t="shared" ref="Q136:Q180" si="34">EXP((-1.305)+(1.055*LN((H136^2))+(0.34*LN(I136))+(1.077*LN(J136))))</f>
        <v>537.94594895406692</v>
      </c>
      <c r="R136" s="52">
        <f t="shared" ref="R136:R180" si="35">EXP(-0.97+(1.1421*LN(H136^2*J136)))</f>
        <v>510.12930917518889</v>
      </c>
      <c r="S136" s="52">
        <f t="shared" ref="S136:S180" si="36">EXP(-1.027+(1.144 *LN(H136^2))+(1.085*LN(J136)))</f>
        <v>511.31898973081996</v>
      </c>
    </row>
    <row r="137" spans="1:19" x14ac:dyDescent="0.3">
      <c r="A137" s="25" t="s">
        <v>78</v>
      </c>
      <c r="B137" s="13" t="s">
        <v>38</v>
      </c>
      <c r="C137" s="23">
        <v>2</v>
      </c>
      <c r="D137" s="23">
        <v>3</v>
      </c>
      <c r="E137" s="23"/>
      <c r="F137" s="23">
        <v>353</v>
      </c>
      <c r="G137" s="14" t="s">
        <v>21</v>
      </c>
      <c r="H137" s="24">
        <v>26.9</v>
      </c>
      <c r="I137" s="23">
        <v>16.100000000000001</v>
      </c>
      <c r="J137" s="16">
        <v>0.3787728655</v>
      </c>
      <c r="K137" s="53">
        <f t="shared" si="29"/>
        <v>247.91637598233569</v>
      </c>
      <c r="L137" s="53">
        <f t="shared" si="30"/>
        <v>284.181401553</v>
      </c>
      <c r="M137" s="53">
        <f t="shared" si="31"/>
        <v>208.88677625972826</v>
      </c>
      <c r="N137" s="52">
        <f t="shared" si="28"/>
        <v>268.18099567729178</v>
      </c>
      <c r="O137" s="52">
        <f t="shared" si="32"/>
        <v>246.67270904567741</v>
      </c>
      <c r="P137" s="52">
        <f t="shared" si="33"/>
        <v>242.80148391391114</v>
      </c>
      <c r="Q137" s="52">
        <f t="shared" si="34"/>
        <v>254.83427594105876</v>
      </c>
      <c r="R137" s="52">
        <f t="shared" si="35"/>
        <v>230.6965001417731</v>
      </c>
      <c r="S137" s="52">
        <f t="shared" si="36"/>
        <v>233.23506641367788</v>
      </c>
    </row>
    <row r="138" spans="1:19" x14ac:dyDescent="0.3">
      <c r="A138" s="25" t="s">
        <v>79</v>
      </c>
      <c r="B138" s="7" t="s">
        <v>24</v>
      </c>
      <c r="C138" s="16">
        <v>1</v>
      </c>
      <c r="D138" s="16">
        <v>1</v>
      </c>
      <c r="E138" s="16">
        <v>1</v>
      </c>
      <c r="F138" s="16">
        <v>1672</v>
      </c>
      <c r="G138" s="16" t="s">
        <v>21</v>
      </c>
      <c r="H138" s="21">
        <v>12.4</v>
      </c>
      <c r="I138" s="16">
        <v>11.2</v>
      </c>
      <c r="J138" s="16">
        <v>0.77426842799999995</v>
      </c>
      <c r="K138" s="53">
        <f t="shared" si="29"/>
        <v>32.045484049176238</v>
      </c>
      <c r="L138" s="53">
        <f t="shared" si="30"/>
        <v>42.007478016000007</v>
      </c>
      <c r="M138" s="53">
        <f t="shared" si="31"/>
        <v>26.861258028850244</v>
      </c>
      <c r="N138" s="52">
        <f t="shared" si="28"/>
        <v>75.311574022789912</v>
      </c>
      <c r="O138" s="52">
        <f t="shared" si="32"/>
        <v>74.535771565368421</v>
      </c>
      <c r="P138" s="52">
        <f t="shared" si="33"/>
        <v>75.503856946655816</v>
      </c>
      <c r="Q138" s="52">
        <f t="shared" si="34"/>
        <v>94.937061332243715</v>
      </c>
      <c r="R138" s="52">
        <f t="shared" si="35"/>
        <v>89.008443332355796</v>
      </c>
      <c r="S138" s="52">
        <f t="shared" si="36"/>
        <v>86.134217990747729</v>
      </c>
    </row>
    <row r="139" spans="1:19" x14ac:dyDescent="0.3">
      <c r="A139" s="25" t="s">
        <v>79</v>
      </c>
      <c r="B139" s="7" t="s">
        <v>26</v>
      </c>
      <c r="C139" s="16">
        <v>1</v>
      </c>
      <c r="D139" s="16">
        <v>3</v>
      </c>
      <c r="E139" s="16">
        <v>1</v>
      </c>
      <c r="F139" s="16">
        <v>1203</v>
      </c>
      <c r="G139" s="16" t="s">
        <v>21</v>
      </c>
      <c r="H139" s="21">
        <v>16.399999999999999</v>
      </c>
      <c r="I139" s="16">
        <v>15.3</v>
      </c>
      <c r="J139" s="16">
        <v>0.747475</v>
      </c>
      <c r="K139" s="53">
        <f t="shared" si="29"/>
        <v>72.415446511971069</v>
      </c>
      <c r="L139" s="53">
        <f t="shared" si="30"/>
        <v>100.379341584</v>
      </c>
      <c r="M139" s="53">
        <f t="shared" si="31"/>
        <v>63.054684211012436</v>
      </c>
      <c r="N139" s="52">
        <f t="shared" si="28"/>
        <v>156.06887173848568</v>
      </c>
      <c r="O139" s="52">
        <f t="shared" si="32"/>
        <v>171.94423001652001</v>
      </c>
      <c r="P139" s="52">
        <f t="shared" si="33"/>
        <v>170.71805093263515</v>
      </c>
      <c r="Q139" s="52">
        <f t="shared" si="34"/>
        <v>183.32636299059052</v>
      </c>
      <c r="R139" s="52">
        <f t="shared" si="35"/>
        <v>161.92556801840814</v>
      </c>
      <c r="S139" s="52">
        <f t="shared" si="36"/>
        <v>157.1790575417763</v>
      </c>
    </row>
    <row r="140" spans="1:19" x14ac:dyDescent="0.3">
      <c r="A140" s="25" t="s">
        <v>79</v>
      </c>
      <c r="B140" s="7" t="s">
        <v>20</v>
      </c>
      <c r="C140" s="16">
        <v>1</v>
      </c>
      <c r="D140" s="16">
        <v>2</v>
      </c>
      <c r="E140" s="16">
        <v>2</v>
      </c>
      <c r="F140" s="16">
        <v>7465</v>
      </c>
      <c r="G140" s="16" t="s">
        <v>21</v>
      </c>
      <c r="H140" s="21">
        <v>28.1</v>
      </c>
      <c r="I140" s="16">
        <v>13.1</v>
      </c>
      <c r="J140" s="16">
        <v>0.75615252483599993</v>
      </c>
      <c r="K140" s="53">
        <f t="shared" si="29"/>
        <v>252.74419093530184</v>
      </c>
      <c r="L140" s="53">
        <f t="shared" si="30"/>
        <v>252.31853316300004</v>
      </c>
      <c r="M140" s="53">
        <f t="shared" si="31"/>
        <v>203.57525820998359</v>
      </c>
      <c r="N140" s="52">
        <f t="shared" si="28"/>
        <v>205.36392328584037</v>
      </c>
      <c r="O140" s="52">
        <f t="shared" si="32"/>
        <v>437.22516466196129</v>
      </c>
      <c r="P140" s="52">
        <f t="shared" si="33"/>
        <v>424.49185943663838</v>
      </c>
      <c r="Q140" s="52">
        <f t="shared" si="34"/>
        <v>548.46713308919868</v>
      </c>
      <c r="R140" s="52">
        <f t="shared" si="35"/>
        <v>561.34406049218728</v>
      </c>
      <c r="S140" s="52">
        <f t="shared" si="36"/>
        <v>545.64582081244862</v>
      </c>
    </row>
    <row r="141" spans="1:19" x14ac:dyDescent="0.3">
      <c r="A141" s="25" t="s">
        <v>79</v>
      </c>
      <c r="B141" s="7" t="s">
        <v>30</v>
      </c>
      <c r="C141" s="16">
        <v>2</v>
      </c>
      <c r="D141" s="16">
        <v>1</v>
      </c>
      <c r="E141" s="16">
        <v>2</v>
      </c>
      <c r="F141" s="16">
        <v>98</v>
      </c>
      <c r="G141" s="16" t="s">
        <v>21</v>
      </c>
      <c r="H141" s="21">
        <v>11.8</v>
      </c>
      <c r="I141" s="16">
        <v>16.5</v>
      </c>
      <c r="J141" s="16">
        <v>0.74150346499999997</v>
      </c>
      <c r="K141" s="53">
        <f t="shared" si="29"/>
        <v>33.451493763344914</v>
      </c>
      <c r="L141" s="53">
        <f t="shared" si="30"/>
        <v>56.041941780000002</v>
      </c>
      <c r="M141" s="53">
        <f t="shared" si="31"/>
        <v>30.430230315149085</v>
      </c>
      <c r="N141" s="52">
        <f t="shared" si="28"/>
        <v>128.19405563521292</v>
      </c>
      <c r="O141" s="52">
        <f t="shared" si="32"/>
        <v>95.229817384068511</v>
      </c>
      <c r="P141" s="52">
        <f t="shared" si="33"/>
        <v>95.901089352373248</v>
      </c>
      <c r="Q141" s="52">
        <f t="shared" si="34"/>
        <v>93.105037121132554</v>
      </c>
      <c r="R141" s="52">
        <f t="shared" si="35"/>
        <v>75.645570401668365</v>
      </c>
      <c r="S141" s="52">
        <f t="shared" si="36"/>
        <v>73.369980780558322</v>
      </c>
    </row>
    <row r="142" spans="1:19" x14ac:dyDescent="0.3">
      <c r="A142" s="25" t="s">
        <v>79</v>
      </c>
      <c r="B142" s="7" t="s">
        <v>26</v>
      </c>
      <c r="C142" s="16">
        <v>2</v>
      </c>
      <c r="D142" s="16">
        <v>3</v>
      </c>
      <c r="E142" s="16">
        <v>2</v>
      </c>
      <c r="F142" s="16">
        <v>668</v>
      </c>
      <c r="G142" s="16" t="s">
        <v>21</v>
      </c>
      <c r="H142" s="21">
        <v>13.9</v>
      </c>
      <c r="I142" s="16">
        <v>8.5</v>
      </c>
      <c r="J142" s="16">
        <v>0.77283480800000004</v>
      </c>
      <c r="K142" s="53">
        <f t="shared" si="29"/>
        <v>37.687153301887513</v>
      </c>
      <c r="L142" s="53">
        <f t="shared" si="30"/>
        <v>40.060258005000001</v>
      </c>
      <c r="M142" s="53">
        <f t="shared" si="31"/>
        <v>29.598830991029917</v>
      </c>
      <c r="N142" s="52">
        <f t="shared" si="28"/>
        <v>55.539691959815336</v>
      </c>
      <c r="O142" s="52">
        <f t="shared" si="32"/>
        <v>70.949119207486063</v>
      </c>
      <c r="P142" s="52">
        <f t="shared" si="33"/>
        <v>71.955736017915456</v>
      </c>
      <c r="Q142" s="52">
        <f t="shared" si="34"/>
        <v>109.76874844245815</v>
      </c>
      <c r="R142" s="52">
        <f t="shared" si="35"/>
        <v>115.29024176354243</v>
      </c>
      <c r="S142" s="52">
        <f t="shared" si="36"/>
        <v>111.62757020771788</v>
      </c>
    </row>
    <row r="143" spans="1:19" x14ac:dyDescent="0.3">
      <c r="A143" s="25" t="s">
        <v>79</v>
      </c>
      <c r="B143" s="7" t="s">
        <v>20</v>
      </c>
      <c r="C143" s="16">
        <v>2</v>
      </c>
      <c r="D143" s="16">
        <v>3</v>
      </c>
      <c r="E143" s="16">
        <v>2</v>
      </c>
      <c r="F143" s="16">
        <v>722</v>
      </c>
      <c r="G143" s="16" t="s">
        <v>21</v>
      </c>
      <c r="H143" s="21">
        <v>21.2</v>
      </c>
      <c r="I143" s="16">
        <v>14.9</v>
      </c>
      <c r="J143" s="16">
        <v>0.74427674977799996</v>
      </c>
      <c r="K143" s="53">
        <f t="shared" si="29"/>
        <v>134.08255643965143</v>
      </c>
      <c r="L143" s="53">
        <f t="shared" si="30"/>
        <v>163.35152980800001</v>
      </c>
      <c r="M143" s="53">
        <f t="shared" si="31"/>
        <v>113.56695593679726</v>
      </c>
      <c r="N143" s="52">
        <f t="shared" si="28"/>
        <v>190.96905463761658</v>
      </c>
      <c r="O143" s="52">
        <f t="shared" si="32"/>
        <v>278.61484373922906</v>
      </c>
      <c r="P143" s="52">
        <f t="shared" si="33"/>
        <v>273.44204180539793</v>
      </c>
      <c r="Q143" s="52">
        <f t="shared" si="34"/>
        <v>310.85345891272357</v>
      </c>
      <c r="R143" s="52">
        <f t="shared" si="35"/>
        <v>289.64007028380144</v>
      </c>
      <c r="S143" s="52">
        <f t="shared" si="36"/>
        <v>281.49319329382621</v>
      </c>
    </row>
    <row r="144" spans="1:19" x14ac:dyDescent="0.3">
      <c r="A144" s="25" t="s">
        <v>80</v>
      </c>
      <c r="B144" s="7" t="s">
        <v>30</v>
      </c>
      <c r="C144" s="16">
        <v>1</v>
      </c>
      <c r="D144" s="16">
        <v>3</v>
      </c>
      <c r="E144" s="16">
        <v>1</v>
      </c>
      <c r="F144" s="16">
        <v>1725</v>
      </c>
      <c r="G144" s="16" t="s">
        <v>21</v>
      </c>
      <c r="H144" s="21">
        <v>12.7</v>
      </c>
      <c r="I144" s="7">
        <v>12.6</v>
      </c>
      <c r="J144" s="16">
        <v>0.70464479867099994</v>
      </c>
      <c r="K144" s="53">
        <f t="shared" si="29"/>
        <v>35.711011886163419</v>
      </c>
      <c r="L144" s="53">
        <f t="shared" si="30"/>
        <v>49.572771822</v>
      </c>
      <c r="M144" s="53">
        <f t="shared" si="31"/>
        <v>30.583630738506745</v>
      </c>
      <c r="N144" s="52">
        <f t="shared" si="28"/>
        <v>91.834328245872172</v>
      </c>
      <c r="O144" s="52">
        <f t="shared" si="32"/>
        <v>80.049762076918881</v>
      </c>
      <c r="P144" s="52">
        <f t="shared" si="33"/>
        <v>80.950687983819691</v>
      </c>
      <c r="Q144" s="52">
        <f t="shared" si="34"/>
        <v>93.899114663633753</v>
      </c>
      <c r="R144" s="52">
        <f t="shared" si="35"/>
        <v>84.413058295696203</v>
      </c>
      <c r="S144" s="52">
        <f t="shared" si="36"/>
        <v>82.135367085708069</v>
      </c>
    </row>
    <row r="145" spans="1:19" x14ac:dyDescent="0.3">
      <c r="A145" s="25" t="s">
        <v>80</v>
      </c>
      <c r="B145" s="7" t="s">
        <v>20</v>
      </c>
      <c r="C145" s="16">
        <v>1</v>
      </c>
      <c r="D145" s="16">
        <v>2</v>
      </c>
      <c r="E145" s="16">
        <v>2</v>
      </c>
      <c r="F145" s="16">
        <v>7464</v>
      </c>
      <c r="G145" s="16" t="s">
        <v>21</v>
      </c>
      <c r="H145" s="21">
        <v>36</v>
      </c>
      <c r="I145" s="7">
        <v>19.399999999999999</v>
      </c>
      <c r="J145" s="16">
        <v>0.69239288301599988</v>
      </c>
      <c r="K145" s="53">
        <f t="shared" si="29"/>
        <v>546.78172360397923</v>
      </c>
      <c r="L145" s="53">
        <f t="shared" si="30"/>
        <v>613.29856319999999</v>
      </c>
      <c r="M145" s="53">
        <f t="shared" si="31"/>
        <v>466.22954861041967</v>
      </c>
      <c r="N145" s="52">
        <f t="shared" si="28"/>
        <v>465.9369876225266</v>
      </c>
      <c r="O145" s="52">
        <f t="shared" si="32"/>
        <v>973.13061214652851</v>
      </c>
      <c r="P145" s="52">
        <f t="shared" si="33"/>
        <v>926.8216434763774</v>
      </c>
      <c r="Q145" s="52">
        <f t="shared" si="34"/>
        <v>961.5155471711131</v>
      </c>
      <c r="R145" s="52">
        <f t="shared" si="35"/>
        <v>893.93763953517055</v>
      </c>
      <c r="S145" s="52">
        <f t="shared" si="36"/>
        <v>874.14253799480207</v>
      </c>
    </row>
    <row r="146" spans="1:19" x14ac:dyDescent="0.3">
      <c r="A146" s="25" t="s">
        <v>80</v>
      </c>
      <c r="B146" s="7" t="s">
        <v>20</v>
      </c>
      <c r="C146" s="16">
        <v>1</v>
      </c>
      <c r="D146" s="16">
        <v>3</v>
      </c>
      <c r="E146" s="16">
        <v>1</v>
      </c>
      <c r="F146" s="16">
        <v>3236</v>
      </c>
      <c r="G146" s="16" t="s">
        <v>21</v>
      </c>
      <c r="H146" s="21">
        <v>22.6</v>
      </c>
      <c r="I146" s="7">
        <v>22.5</v>
      </c>
      <c r="J146" s="16">
        <v>0.69081379869600001</v>
      </c>
      <c r="K146" s="53">
        <f t="shared" si="29"/>
        <v>186.66106814011201</v>
      </c>
      <c r="L146" s="53">
        <f t="shared" si="30"/>
        <v>280.32679530000001</v>
      </c>
      <c r="M146" s="53">
        <f t="shared" si="31"/>
        <v>170.73292187311665</v>
      </c>
      <c r="N146" s="52">
        <f t="shared" si="28"/>
        <v>375.28051998515804</v>
      </c>
      <c r="O146" s="52">
        <f t="shared" si="32"/>
        <v>443.78458021008146</v>
      </c>
      <c r="P146" s="52">
        <f t="shared" si="33"/>
        <v>430.70629062858717</v>
      </c>
      <c r="Q146" s="52">
        <f t="shared" si="34"/>
        <v>377.70120030949914</v>
      </c>
      <c r="R146" s="52">
        <f t="shared" si="35"/>
        <v>307.83858331102215</v>
      </c>
      <c r="S146" s="52">
        <f t="shared" si="36"/>
        <v>300.52898528529647</v>
      </c>
    </row>
    <row r="147" spans="1:19" x14ac:dyDescent="0.3">
      <c r="A147" s="25" t="s">
        <v>80</v>
      </c>
      <c r="B147" s="7" t="s">
        <v>30</v>
      </c>
      <c r="C147" s="16">
        <v>2</v>
      </c>
      <c r="D147" s="16">
        <v>1</v>
      </c>
      <c r="E147" s="16">
        <v>1</v>
      </c>
      <c r="F147" s="16">
        <v>77</v>
      </c>
      <c r="G147" s="16" t="s">
        <v>21</v>
      </c>
      <c r="H147" s="21">
        <v>33.200000000000003</v>
      </c>
      <c r="I147" s="7">
        <v>22.3</v>
      </c>
      <c r="J147" s="16">
        <v>0.77910847955999996</v>
      </c>
      <c r="K147" s="53">
        <f t="shared" si="29"/>
        <v>475.90914306298941</v>
      </c>
      <c r="L147" s="53">
        <f t="shared" si="30"/>
        <v>599.57876913600012</v>
      </c>
      <c r="M147" s="53">
        <f t="shared" si="31"/>
        <v>420.21566041661788</v>
      </c>
      <c r="N147" s="52">
        <f t="shared" si="28"/>
        <v>531.63012879925759</v>
      </c>
      <c r="O147" s="52">
        <f t="shared" si="32"/>
        <v>1070.5101007981182</v>
      </c>
      <c r="P147" s="52">
        <f t="shared" si="33"/>
        <v>1017.2360216209323</v>
      </c>
      <c r="Q147" s="52">
        <f t="shared" si="34"/>
        <v>964.98748938758945</v>
      </c>
      <c r="R147" s="52">
        <f t="shared" si="35"/>
        <v>850.18210684422093</v>
      </c>
      <c r="S147" s="52">
        <f t="shared" si="36"/>
        <v>825.51935065836074</v>
      </c>
    </row>
    <row r="148" spans="1:19" x14ac:dyDescent="0.3">
      <c r="A148" s="25" t="s">
        <v>80</v>
      </c>
      <c r="B148" s="7" t="s">
        <v>30</v>
      </c>
      <c r="C148" s="16">
        <v>2</v>
      </c>
      <c r="D148" s="16">
        <v>2</v>
      </c>
      <c r="E148" s="16">
        <v>1</v>
      </c>
      <c r="F148" s="16">
        <v>441</v>
      </c>
      <c r="G148" s="16" t="s">
        <v>21</v>
      </c>
      <c r="H148" s="21">
        <v>28.3</v>
      </c>
      <c r="I148" s="16">
        <v>21</v>
      </c>
      <c r="J148" s="16">
        <v>0.601380193482</v>
      </c>
      <c r="K148" s="53">
        <f t="shared" si="29"/>
        <v>314.06777938026067</v>
      </c>
      <c r="L148" s="53">
        <f t="shared" si="30"/>
        <v>410.25830516999997</v>
      </c>
      <c r="M148" s="53">
        <f t="shared" si="31"/>
        <v>277.83767355972458</v>
      </c>
      <c r="N148" s="52">
        <f t="shared" si="28"/>
        <v>418.26606836735533</v>
      </c>
      <c r="O148" s="52">
        <f t="shared" si="32"/>
        <v>565.39647188894014</v>
      </c>
      <c r="P148" s="52">
        <f t="shared" si="33"/>
        <v>545.55401913898083</v>
      </c>
      <c r="Q148" s="52">
        <f t="shared" si="34"/>
        <v>510.75572469207685</v>
      </c>
      <c r="R148" s="52">
        <f t="shared" si="35"/>
        <v>439.20890719743176</v>
      </c>
      <c r="S148" s="52">
        <f t="shared" si="36"/>
        <v>432.55738121283815</v>
      </c>
    </row>
    <row r="149" spans="1:19" x14ac:dyDescent="0.3">
      <c r="A149" s="25" t="s">
        <v>80</v>
      </c>
      <c r="B149" s="7" t="s">
        <v>44</v>
      </c>
      <c r="C149" s="16">
        <v>2</v>
      </c>
      <c r="D149" s="16">
        <v>3</v>
      </c>
      <c r="E149" s="16">
        <v>1</v>
      </c>
      <c r="F149" s="16">
        <v>701</v>
      </c>
      <c r="G149" s="16" t="s">
        <v>21</v>
      </c>
      <c r="H149" s="21">
        <v>17.600000000000001</v>
      </c>
      <c r="I149" s="16">
        <v>20.6</v>
      </c>
      <c r="J149" s="16">
        <v>0.62259741449999995</v>
      </c>
      <c r="K149" s="53">
        <f t="shared" si="29"/>
        <v>97.607947487617565</v>
      </c>
      <c r="L149" s="53">
        <f t="shared" si="30"/>
        <v>155.65309900800005</v>
      </c>
      <c r="M149" s="53">
        <f t="shared" si="31"/>
        <v>89.647532539117321</v>
      </c>
      <c r="N149" s="52">
        <f t="shared" si="28"/>
        <v>260.03959538099605</v>
      </c>
      <c r="O149" s="52">
        <f t="shared" si="32"/>
        <v>222.0811392765259</v>
      </c>
      <c r="P149" s="52">
        <f t="shared" si="33"/>
        <v>219.14750784255742</v>
      </c>
      <c r="Q149" s="52">
        <f t="shared" si="34"/>
        <v>193.35417813045208</v>
      </c>
      <c r="R149" s="52">
        <f t="shared" si="35"/>
        <v>154.41822653534749</v>
      </c>
      <c r="S149" s="52">
        <f t="shared" si="36"/>
        <v>151.5051813023432</v>
      </c>
    </row>
    <row r="150" spans="1:19" x14ac:dyDescent="0.3">
      <c r="A150" s="25" t="s">
        <v>81</v>
      </c>
      <c r="B150" s="17" t="s">
        <v>30</v>
      </c>
      <c r="C150" s="16">
        <v>1</v>
      </c>
      <c r="D150" s="16">
        <v>3</v>
      </c>
      <c r="E150" s="16">
        <v>1</v>
      </c>
      <c r="F150" s="16">
        <v>1727</v>
      </c>
      <c r="G150" s="16" t="s">
        <v>21</v>
      </c>
      <c r="H150" s="16">
        <v>35.700000000000003</v>
      </c>
      <c r="I150" s="16">
        <v>18.5</v>
      </c>
      <c r="J150" s="16">
        <v>0.655456186</v>
      </c>
      <c r="K150" s="53">
        <f t="shared" si="29"/>
        <v>525.04343016240477</v>
      </c>
      <c r="L150" s="53">
        <f t="shared" si="30"/>
        <v>575.13973954500023</v>
      </c>
      <c r="M150" s="53">
        <f t="shared" si="31"/>
        <v>443.7834954493606</v>
      </c>
      <c r="N150" s="52">
        <f t="shared" si="28"/>
        <v>430.63075389855419</v>
      </c>
      <c r="O150" s="52">
        <f t="shared" si="32"/>
        <v>863.9003204011492</v>
      </c>
      <c r="P150" s="52">
        <f t="shared" si="33"/>
        <v>825.14381284789249</v>
      </c>
      <c r="Q150" s="52">
        <f t="shared" si="34"/>
        <v>876.25710753253418</v>
      </c>
      <c r="R150" s="52">
        <f t="shared" si="35"/>
        <v>823.78449467139058</v>
      </c>
      <c r="S150" s="52">
        <f t="shared" si="36"/>
        <v>808.04272352185671</v>
      </c>
    </row>
    <row r="151" spans="1:19" x14ac:dyDescent="0.3">
      <c r="A151" s="25" t="s">
        <v>81</v>
      </c>
      <c r="B151" s="17" t="s">
        <v>26</v>
      </c>
      <c r="C151" s="16">
        <v>1</v>
      </c>
      <c r="D151" s="16">
        <v>1</v>
      </c>
      <c r="E151" s="16">
        <v>2</v>
      </c>
      <c r="F151" s="16">
        <v>1643</v>
      </c>
      <c r="G151" s="16" t="s">
        <v>21</v>
      </c>
      <c r="H151" s="16">
        <v>11.8</v>
      </c>
      <c r="I151" s="16">
        <v>13</v>
      </c>
      <c r="J151" s="16">
        <v>0.74557338574999998</v>
      </c>
      <c r="K151" s="53">
        <f t="shared" si="29"/>
        <v>30.23817067185875</v>
      </c>
      <c r="L151" s="53">
        <f t="shared" si="30"/>
        <v>44.154257160000007</v>
      </c>
      <c r="M151" s="53">
        <f t="shared" si="31"/>
        <v>26.226230671364615</v>
      </c>
      <c r="N151" s="52">
        <f t="shared" si="28"/>
        <v>89.796410063256843</v>
      </c>
      <c r="O151" s="52">
        <f t="shared" si="32"/>
        <v>75.441370903070862</v>
      </c>
      <c r="P151" s="52">
        <f t="shared" si="33"/>
        <v>76.399071711818493</v>
      </c>
      <c r="Q151" s="52">
        <f t="shared" si="34"/>
        <v>86.36338055908017</v>
      </c>
      <c r="R151" s="52">
        <f t="shared" si="35"/>
        <v>76.119953784100204</v>
      </c>
      <c r="S151" s="52">
        <f t="shared" si="36"/>
        <v>73.807021637402542</v>
      </c>
    </row>
    <row r="152" spans="1:19" x14ac:dyDescent="0.3">
      <c r="A152" s="25" t="s">
        <v>81</v>
      </c>
      <c r="B152" s="13" t="s">
        <v>59</v>
      </c>
      <c r="C152" s="23">
        <v>2</v>
      </c>
      <c r="D152" s="23">
        <v>1</v>
      </c>
      <c r="E152" s="23"/>
      <c r="F152" s="23">
        <v>248</v>
      </c>
      <c r="G152" s="23" t="s">
        <v>21</v>
      </c>
      <c r="H152" s="24">
        <v>11.8</v>
      </c>
      <c r="I152" s="23">
        <v>10.199999999999999</v>
      </c>
      <c r="J152" s="16">
        <v>0.55602062475000003</v>
      </c>
      <c r="K152" s="53">
        <f t="shared" si="29"/>
        <v>27.285500972446329</v>
      </c>
      <c r="L152" s="53">
        <f t="shared" si="30"/>
        <v>34.644109464000003</v>
      </c>
      <c r="M152" s="53">
        <f t="shared" si="31"/>
        <v>22.544592748921026</v>
      </c>
      <c r="N152" s="52">
        <f t="shared" si="28"/>
        <v>62.511281147770461</v>
      </c>
      <c r="O152" s="52">
        <f t="shared" si="32"/>
        <v>44.143513376530535</v>
      </c>
      <c r="P152" s="52">
        <f t="shared" si="33"/>
        <v>45.28258696725802</v>
      </c>
      <c r="Q152" s="52">
        <f t="shared" si="34"/>
        <v>57.983402406397218</v>
      </c>
      <c r="R152" s="52">
        <f t="shared" si="35"/>
        <v>54.449707626965662</v>
      </c>
      <c r="S152" s="52">
        <f t="shared" si="36"/>
        <v>53.687011286027243</v>
      </c>
    </row>
    <row r="153" spans="1:19" x14ac:dyDescent="0.3">
      <c r="A153" s="25" t="s">
        <v>81</v>
      </c>
      <c r="B153" s="7" t="s">
        <v>26</v>
      </c>
      <c r="C153" s="16">
        <v>2</v>
      </c>
      <c r="D153" s="16">
        <v>2</v>
      </c>
      <c r="E153" s="16">
        <v>2</v>
      </c>
      <c r="F153" s="16">
        <v>505</v>
      </c>
      <c r="G153" s="16" t="s">
        <v>21</v>
      </c>
      <c r="H153" s="21">
        <v>13.5</v>
      </c>
      <c r="I153" s="16">
        <v>10</v>
      </c>
      <c r="J153" s="16">
        <v>0.62179669599999998</v>
      </c>
      <c r="K153" s="53">
        <f t="shared" si="29"/>
        <v>37.59303105439146</v>
      </c>
      <c r="L153" s="53">
        <f t="shared" si="30"/>
        <v>44.456242500000002</v>
      </c>
      <c r="M153" s="53">
        <f t="shared" si="31"/>
        <v>30.578029904374578</v>
      </c>
      <c r="N153" s="52">
        <f t="shared" si="28"/>
        <v>68.876911429390475</v>
      </c>
      <c r="O153" s="52">
        <f t="shared" si="32"/>
        <v>63.347248345913997</v>
      </c>
      <c r="P153" s="52">
        <f t="shared" si="33"/>
        <v>64.42099502723562</v>
      </c>
      <c r="Q153" s="52">
        <f t="shared" si="34"/>
        <v>86.299700843789253</v>
      </c>
      <c r="R153" s="52">
        <f t="shared" si="35"/>
        <v>84.133430155676535</v>
      </c>
      <c r="S153" s="52">
        <f t="shared" si="36"/>
        <v>82.469194799934115</v>
      </c>
    </row>
    <row r="154" spans="1:19" x14ac:dyDescent="0.3">
      <c r="A154" s="25" t="s">
        <v>81</v>
      </c>
      <c r="B154" s="7" t="s">
        <v>30</v>
      </c>
      <c r="C154" s="16">
        <v>2</v>
      </c>
      <c r="D154" s="16">
        <v>3</v>
      </c>
      <c r="E154" s="16">
        <v>2</v>
      </c>
      <c r="F154" s="16">
        <v>599</v>
      </c>
      <c r="G154" s="16" t="s">
        <v>21</v>
      </c>
      <c r="H154" s="30">
        <f>SQRT(17.8^2+14^2)</f>
        <v>22.645970944077447</v>
      </c>
      <c r="I154" s="16">
        <v>13.7</v>
      </c>
      <c r="J154" s="16">
        <v>0.63040140150000001</v>
      </c>
      <c r="K154" s="53">
        <f t="shared" si="29"/>
        <v>152.03371618228942</v>
      </c>
      <c r="L154" s="53">
        <f t="shared" si="30"/>
        <v>171.38297384400002</v>
      </c>
      <c r="M154" s="53">
        <f t="shared" si="31"/>
        <v>125.90171332029291</v>
      </c>
      <c r="N154" s="52">
        <f t="shared" si="28"/>
        <v>179.24770762276265</v>
      </c>
      <c r="O154" s="52">
        <f t="shared" si="32"/>
        <v>247.58905177556244</v>
      </c>
      <c r="P154" s="52">
        <f t="shared" si="33"/>
        <v>243.68175949303929</v>
      </c>
      <c r="Q154" s="52">
        <f t="shared" si="34"/>
        <v>290.36835324500231</v>
      </c>
      <c r="R154" s="52">
        <f t="shared" si="35"/>
        <v>278.57840064113606</v>
      </c>
      <c r="S154" s="52">
        <f t="shared" si="36"/>
        <v>273.39053849993428</v>
      </c>
    </row>
    <row r="155" spans="1:19" x14ac:dyDescent="0.3">
      <c r="A155" s="25" t="s">
        <v>82</v>
      </c>
      <c r="B155" s="7" t="s">
        <v>20</v>
      </c>
      <c r="C155" s="16">
        <v>1</v>
      </c>
      <c r="D155" s="16">
        <v>1</v>
      </c>
      <c r="E155" s="16">
        <v>2</v>
      </c>
      <c r="F155" s="16">
        <v>2012</v>
      </c>
      <c r="G155" s="16" t="s">
        <v>21</v>
      </c>
      <c r="H155" s="21">
        <v>10.4</v>
      </c>
      <c r="I155" s="16">
        <v>8.9</v>
      </c>
      <c r="J155" s="16">
        <v>0.323709941</v>
      </c>
      <c r="K155" s="53">
        <f t="shared" si="29"/>
        <v>18.916272670815371</v>
      </c>
      <c r="L155" s="53">
        <f t="shared" si="30"/>
        <v>23.481287232000003</v>
      </c>
      <c r="M155" s="53">
        <f t="shared" si="31"/>
        <v>15.377219236206397</v>
      </c>
      <c r="N155" s="52">
        <f t="shared" si="28"/>
        <v>45.287155765706899</v>
      </c>
      <c r="O155" s="52">
        <f t="shared" si="32"/>
        <v>17.41905256590579</v>
      </c>
      <c r="P155" s="52">
        <f t="shared" si="33"/>
        <v>18.271789392578764</v>
      </c>
      <c r="Q155" s="52">
        <f t="shared" si="34"/>
        <v>23.681908605441372</v>
      </c>
      <c r="R155" s="52">
        <f t="shared" si="35"/>
        <v>21.998401062498111</v>
      </c>
      <c r="S155" s="52">
        <f t="shared" si="36"/>
        <v>22.359966426758749</v>
      </c>
    </row>
    <row r="156" spans="1:19" x14ac:dyDescent="0.3">
      <c r="A156" s="25" t="s">
        <v>82</v>
      </c>
      <c r="B156" s="7" t="s">
        <v>24</v>
      </c>
      <c r="C156" s="16">
        <v>1</v>
      </c>
      <c r="D156" s="16">
        <v>3</v>
      </c>
      <c r="E156" s="16">
        <v>2</v>
      </c>
      <c r="F156" s="16">
        <v>1269</v>
      </c>
      <c r="G156" s="16" t="s">
        <v>21</v>
      </c>
      <c r="H156" s="21">
        <v>18.8</v>
      </c>
      <c r="I156" s="16">
        <v>10.3</v>
      </c>
      <c r="J156" s="16">
        <v>0.325017326</v>
      </c>
      <c r="K156" s="53">
        <f t="shared" si="29"/>
        <v>85.498530071832846</v>
      </c>
      <c r="L156" s="53">
        <f t="shared" si="30"/>
        <v>88.801057776000022</v>
      </c>
      <c r="M156" s="53">
        <f t="shared" si="31"/>
        <v>67.968652875324267</v>
      </c>
      <c r="N156" s="52">
        <f t="shared" si="28"/>
        <v>98.280647578817252</v>
      </c>
      <c r="O156" s="52">
        <f t="shared" si="32"/>
        <v>66.141074203578114</v>
      </c>
      <c r="P156" s="52">
        <f t="shared" si="33"/>
        <v>67.192542383135475</v>
      </c>
      <c r="Q156" s="52">
        <f t="shared" si="34"/>
        <v>87.177966375602537</v>
      </c>
      <c r="R156" s="52">
        <f t="shared" si="35"/>
        <v>85.45040791684437</v>
      </c>
      <c r="S156" s="52">
        <f t="shared" si="36"/>
        <v>87.030462753502846</v>
      </c>
    </row>
    <row r="157" spans="1:19" x14ac:dyDescent="0.3">
      <c r="A157" s="25" t="s">
        <v>82</v>
      </c>
      <c r="B157" s="7" t="s">
        <v>24</v>
      </c>
      <c r="C157" s="16">
        <v>1</v>
      </c>
      <c r="D157" s="16">
        <v>1</v>
      </c>
      <c r="E157" s="16">
        <v>2</v>
      </c>
      <c r="F157" s="16">
        <v>1695</v>
      </c>
      <c r="G157" s="16" t="s">
        <v>21</v>
      </c>
      <c r="H157" s="21">
        <v>25.8</v>
      </c>
      <c r="I157" s="16">
        <v>16</v>
      </c>
      <c r="J157" s="16">
        <v>0.347065495</v>
      </c>
      <c r="K157" s="53">
        <f t="shared" si="29"/>
        <v>223.28248625374431</v>
      </c>
      <c r="L157" s="53">
        <f t="shared" si="30"/>
        <v>259.79130431999999</v>
      </c>
      <c r="M157" s="53">
        <f t="shared" si="31"/>
        <v>188.5808562737802</v>
      </c>
      <c r="N157" s="52">
        <f t="shared" si="28"/>
        <v>255.46945884967622</v>
      </c>
      <c r="O157" s="52">
        <f t="shared" si="32"/>
        <v>206.62489269650592</v>
      </c>
      <c r="P157" s="52">
        <f t="shared" si="33"/>
        <v>204.24874532059059</v>
      </c>
      <c r="Q157" s="52">
        <f t="shared" si="34"/>
        <v>211.92744102168967</v>
      </c>
      <c r="R157" s="52">
        <f t="shared" si="35"/>
        <v>189.7841717683188</v>
      </c>
      <c r="S157" s="52">
        <f t="shared" si="36"/>
        <v>192.80214672770688</v>
      </c>
    </row>
    <row r="158" spans="1:19" x14ac:dyDescent="0.3">
      <c r="A158" s="25" t="s">
        <v>82</v>
      </c>
      <c r="B158" s="7" t="s">
        <v>26</v>
      </c>
      <c r="C158" s="16">
        <v>2</v>
      </c>
      <c r="D158" s="16">
        <v>2</v>
      </c>
      <c r="E158" s="16">
        <v>1</v>
      </c>
      <c r="F158" s="16">
        <v>492</v>
      </c>
      <c r="G158" s="16" t="s">
        <v>21</v>
      </c>
      <c r="H158" s="21">
        <v>14.5</v>
      </c>
      <c r="I158" s="16">
        <v>8.3000000000000007</v>
      </c>
      <c r="J158" s="16">
        <v>0.28791350799999998</v>
      </c>
      <c r="K158" s="53">
        <f t="shared" si="29"/>
        <v>41.36722064431266</v>
      </c>
      <c r="L158" s="53">
        <f t="shared" si="30"/>
        <v>42.567614475000006</v>
      </c>
      <c r="M158" s="53">
        <f t="shared" si="31"/>
        <v>32.216002384905956</v>
      </c>
      <c r="N158" s="52">
        <f t="shared" si="28"/>
        <v>55.772264468045975</v>
      </c>
      <c r="O158" s="52">
        <f t="shared" si="32"/>
        <v>28.085874171996291</v>
      </c>
      <c r="P158" s="52">
        <f t="shared" si="33"/>
        <v>29.124962499737148</v>
      </c>
      <c r="Q158" s="52">
        <f t="shared" si="34"/>
        <v>41.100201918369841</v>
      </c>
      <c r="R158" s="52">
        <f t="shared" si="35"/>
        <v>41.110647816329198</v>
      </c>
      <c r="S158" s="52">
        <f t="shared" si="36"/>
        <v>42.120049294663289</v>
      </c>
    </row>
    <row r="159" spans="1:19" x14ac:dyDescent="0.3">
      <c r="A159" s="25" t="s">
        <v>82</v>
      </c>
      <c r="B159" s="7" t="s">
        <v>20</v>
      </c>
      <c r="C159" s="16">
        <v>2</v>
      </c>
      <c r="D159" s="16">
        <v>2</v>
      </c>
      <c r="E159" s="16">
        <v>2</v>
      </c>
      <c r="F159" s="16">
        <v>332</v>
      </c>
      <c r="G159" s="16" t="s">
        <v>21</v>
      </c>
      <c r="H159" s="21">
        <v>25.2</v>
      </c>
      <c r="I159" s="16">
        <v>10.4</v>
      </c>
      <c r="J159" s="16">
        <v>0.31213714199999998</v>
      </c>
      <c r="K159" s="53">
        <f t="shared" si="29"/>
        <v>175.64481115433207</v>
      </c>
      <c r="L159" s="53">
        <f t="shared" si="30"/>
        <v>161.10151948800001</v>
      </c>
      <c r="M159" s="53">
        <f t="shared" si="31"/>
        <v>136.37923905312795</v>
      </c>
      <c r="N159" s="52">
        <f t="shared" si="28"/>
        <v>131.33159075323778</v>
      </c>
      <c r="O159" s="52">
        <f t="shared" si="32"/>
        <v>115.2369295963861</v>
      </c>
      <c r="P159" s="52">
        <f t="shared" si="33"/>
        <v>115.5193183976905</v>
      </c>
      <c r="Q159" s="52">
        <f t="shared" si="34"/>
        <v>155.38254365784886</v>
      </c>
      <c r="R159" s="52">
        <f t="shared" si="35"/>
        <v>159.33287981786248</v>
      </c>
      <c r="S159" s="52">
        <f t="shared" si="36"/>
        <v>162.83539693790161</v>
      </c>
    </row>
    <row r="160" spans="1:19" x14ac:dyDescent="0.3">
      <c r="A160" s="25" t="s">
        <v>82</v>
      </c>
      <c r="B160" s="7" t="s">
        <v>20</v>
      </c>
      <c r="C160" s="16">
        <v>2</v>
      </c>
      <c r="D160" s="16">
        <v>3</v>
      </c>
      <c r="E160" s="16">
        <v>1</v>
      </c>
      <c r="F160" s="16">
        <v>715</v>
      </c>
      <c r="G160" s="16" t="s">
        <v>21</v>
      </c>
      <c r="H160" s="21">
        <v>26.2</v>
      </c>
      <c r="I160" s="16">
        <v>9.4</v>
      </c>
      <c r="J160" s="16">
        <v>0.36517019699999997</v>
      </c>
      <c r="K160" s="53">
        <f t="shared" si="29"/>
        <v>185.06803901781493</v>
      </c>
      <c r="L160" s="53">
        <f t="shared" si="30"/>
        <v>157.39671064800001</v>
      </c>
      <c r="M160" s="53">
        <f t="shared" si="31"/>
        <v>140.3432547378593</v>
      </c>
      <c r="N160" s="52">
        <f t="shared" si="28"/>
        <v>117.13831691379083</v>
      </c>
      <c r="O160" s="52">
        <f t="shared" si="32"/>
        <v>131.7157077828702</v>
      </c>
      <c r="P160" s="52">
        <f t="shared" si="33"/>
        <v>131.61561213133069</v>
      </c>
      <c r="Q160" s="52">
        <f t="shared" si="34"/>
        <v>192.98891385530942</v>
      </c>
      <c r="R160" s="52">
        <f t="shared" si="35"/>
        <v>208.32628713787841</v>
      </c>
      <c r="S160" s="52">
        <f t="shared" si="36"/>
        <v>211.03784823808533</v>
      </c>
    </row>
    <row r="161" spans="1:19" x14ac:dyDescent="0.3">
      <c r="A161" s="25" t="s">
        <v>83</v>
      </c>
      <c r="B161" s="13" t="s">
        <v>30</v>
      </c>
      <c r="C161" s="23">
        <v>2</v>
      </c>
      <c r="D161" s="23">
        <v>1</v>
      </c>
      <c r="E161" s="23"/>
      <c r="F161" s="23">
        <v>496</v>
      </c>
      <c r="G161" s="23" t="s">
        <v>84</v>
      </c>
      <c r="H161" s="24">
        <v>19.899999999999999</v>
      </c>
      <c r="I161" s="23">
        <v>8.1</v>
      </c>
      <c r="J161" s="16">
        <v>0.70277513399999991</v>
      </c>
      <c r="K161" s="53">
        <f t="shared" si="29"/>
        <v>88.73482079086854</v>
      </c>
      <c r="L161" s="53">
        <f t="shared" si="30"/>
        <v>78.244962632999986</v>
      </c>
      <c r="M161" s="53">
        <f t="shared" si="31"/>
        <v>66.899473902162157</v>
      </c>
      <c r="N161" s="52">
        <f t="shared" si="28"/>
        <v>72.421246939961222</v>
      </c>
      <c r="O161" s="52">
        <f t="shared" si="32"/>
        <v>126.01416505337775</v>
      </c>
      <c r="P161" s="52">
        <f t="shared" si="33"/>
        <v>126.0522032793059</v>
      </c>
      <c r="Q161" s="52">
        <f t="shared" si="34"/>
        <v>207.84129857099856</v>
      </c>
      <c r="R161" s="52">
        <f t="shared" si="35"/>
        <v>234.75969946375474</v>
      </c>
      <c r="S161" s="52">
        <f t="shared" si="36"/>
        <v>228.85014156193392</v>
      </c>
    </row>
    <row r="162" spans="1:19" x14ac:dyDescent="0.3">
      <c r="A162" s="25" t="s">
        <v>83</v>
      </c>
      <c r="B162" s="7" t="s">
        <v>30</v>
      </c>
      <c r="C162" s="16">
        <v>1</v>
      </c>
      <c r="D162" s="16">
        <v>2</v>
      </c>
      <c r="E162" s="16">
        <v>1</v>
      </c>
      <c r="F162" s="16">
        <v>4964</v>
      </c>
      <c r="G162" s="16" t="s">
        <v>84</v>
      </c>
      <c r="H162" s="30">
        <f>SQRT(19.9^2+5.5^2)</f>
        <v>20.646065000382034</v>
      </c>
      <c r="I162" s="16">
        <v>9.6</v>
      </c>
      <c r="J162" s="16">
        <v>0.67274608633333344</v>
      </c>
      <c r="K162" s="53">
        <f t="shared" si="29"/>
        <v>104.3290347583855</v>
      </c>
      <c r="L162" s="53">
        <f t="shared" si="30"/>
        <v>99.818497727999997</v>
      </c>
      <c r="M162" s="53">
        <f t="shared" si="31"/>
        <v>81.114880691180701</v>
      </c>
      <c r="N162" s="52">
        <f t="shared" ref="N162:N180" si="37">10^(-0.717903255+0.940214879*LOG10(H162)+1.345432588*LOG10(I162)*1.109844005)</f>
        <v>96.621475694096503</v>
      </c>
      <c r="O162" s="52">
        <f t="shared" si="32"/>
        <v>153.88943370152612</v>
      </c>
      <c r="P162" s="52">
        <f t="shared" si="33"/>
        <v>153.19935258295473</v>
      </c>
      <c r="Q162" s="52">
        <f t="shared" si="34"/>
        <v>227.04938177052773</v>
      </c>
      <c r="R162" s="52">
        <f t="shared" si="35"/>
        <v>242.92629339711911</v>
      </c>
      <c r="S162" s="52">
        <f t="shared" si="36"/>
        <v>237.43559012596424</v>
      </c>
    </row>
    <row r="163" spans="1:19" x14ac:dyDescent="0.3">
      <c r="A163" s="25" t="s">
        <v>83</v>
      </c>
      <c r="B163" s="7" t="s">
        <v>30</v>
      </c>
      <c r="C163" s="16">
        <v>1</v>
      </c>
      <c r="D163" s="16">
        <v>2</v>
      </c>
      <c r="E163" s="16">
        <v>2</v>
      </c>
      <c r="F163" s="16">
        <v>4974</v>
      </c>
      <c r="G163" s="16" t="s">
        <v>84</v>
      </c>
      <c r="H163" s="30">
        <f>SQRT(29.5^2+16.4^2)</f>
        <v>33.752185114448515</v>
      </c>
      <c r="I163" s="16">
        <v>12.3</v>
      </c>
      <c r="J163" s="16">
        <v>0.68866875125000004</v>
      </c>
      <c r="K163" s="53">
        <f t="shared" si="29"/>
        <v>385.09611420242976</v>
      </c>
      <c r="L163" s="53">
        <f t="shared" si="30"/>
        <v>341.80161921900003</v>
      </c>
      <c r="M163" s="53">
        <f t="shared" si="31"/>
        <v>301.44679290921027</v>
      </c>
      <c r="N163" s="52">
        <f t="shared" si="37"/>
        <v>222.07381546551636</v>
      </c>
      <c r="O163" s="52">
        <f t="shared" si="32"/>
        <v>539.42501825963268</v>
      </c>
      <c r="P163" s="52">
        <f t="shared" si="33"/>
        <v>521.08176874318247</v>
      </c>
      <c r="Q163" s="52">
        <f t="shared" si="34"/>
        <v>714.60756926936153</v>
      </c>
      <c r="R163" s="52">
        <f t="shared" si="35"/>
        <v>766.78426299137652</v>
      </c>
      <c r="S163" s="52">
        <f t="shared" si="36"/>
        <v>749.85201061340013</v>
      </c>
    </row>
    <row r="164" spans="1:19" x14ac:dyDescent="0.3">
      <c r="A164" s="25" t="s">
        <v>83</v>
      </c>
      <c r="B164" s="7" t="s">
        <v>30</v>
      </c>
      <c r="C164" s="16">
        <v>1</v>
      </c>
      <c r="D164" s="16">
        <v>1</v>
      </c>
      <c r="E164" s="16">
        <v>1</v>
      </c>
      <c r="F164" s="16">
        <v>1312</v>
      </c>
      <c r="G164" s="16" t="s">
        <v>84</v>
      </c>
      <c r="H164" s="30">
        <f>SQRT(4.9^2 + 2^2 + 5.4^2 + 22^2)</f>
        <v>23.263060847618483</v>
      </c>
      <c r="I164" s="16">
        <v>6.3</v>
      </c>
      <c r="J164" s="16">
        <v>0.59479381399999998</v>
      </c>
      <c r="K164" s="53">
        <f t="shared" si="29"/>
        <v>116.82975550176413</v>
      </c>
      <c r="L164" s="53">
        <f t="shared" si="30"/>
        <v>83.164786802999998</v>
      </c>
      <c r="M164" s="53">
        <f t="shared" si="31"/>
        <v>82.632095889682859</v>
      </c>
      <c r="N164" s="52">
        <f t="shared" si="37"/>
        <v>57.630022196569826</v>
      </c>
      <c r="O164" s="52">
        <f t="shared" si="32"/>
        <v>113.35808842609254</v>
      </c>
      <c r="P164" s="52">
        <f t="shared" si="33"/>
        <v>113.68071413219943</v>
      </c>
      <c r="Q164" s="52">
        <f t="shared" si="34"/>
        <v>221.65687937476713</v>
      </c>
      <c r="R164" s="52">
        <f t="shared" si="35"/>
        <v>277.19072933270672</v>
      </c>
      <c r="S164" s="52">
        <f t="shared" si="36"/>
        <v>272.96120446425886</v>
      </c>
    </row>
    <row r="165" spans="1:19" x14ac:dyDescent="0.3">
      <c r="A165" s="25" t="s">
        <v>83</v>
      </c>
      <c r="B165" s="13" t="s">
        <v>30</v>
      </c>
      <c r="C165" s="23">
        <v>1</v>
      </c>
      <c r="D165" s="23">
        <v>1</v>
      </c>
      <c r="E165" s="23"/>
      <c r="F165" s="23">
        <v>2876</v>
      </c>
      <c r="G165" s="23" t="s">
        <v>84</v>
      </c>
      <c r="H165" s="24">
        <v>30.6</v>
      </c>
      <c r="I165" s="23">
        <v>12</v>
      </c>
      <c r="J165" s="16">
        <v>0.69101458650000003</v>
      </c>
      <c r="K165" s="53">
        <f t="shared" si="29"/>
        <v>299.90744303611081</v>
      </c>
      <c r="L165" s="53">
        <f t="shared" si="30"/>
        <v>274.08755376000005</v>
      </c>
      <c r="M165" s="53">
        <f t="shared" si="31"/>
        <v>235.60823227109609</v>
      </c>
      <c r="N165" s="52">
        <f t="shared" si="37"/>
        <v>195.18636289217085</v>
      </c>
      <c r="O165" s="52">
        <f t="shared" si="32"/>
        <v>434.03337093871602</v>
      </c>
      <c r="P165" s="52">
        <f t="shared" si="33"/>
        <v>421.46712682752604</v>
      </c>
      <c r="Q165" s="52">
        <f t="shared" si="34"/>
        <v>578.31873944139909</v>
      </c>
      <c r="R165" s="52">
        <f t="shared" si="35"/>
        <v>615.3151143836659</v>
      </c>
      <c r="S165" s="52">
        <f t="shared" si="36"/>
        <v>601.38669979035876</v>
      </c>
    </row>
    <row r="166" spans="1:19" x14ac:dyDescent="0.3">
      <c r="A166" s="25" t="s">
        <v>85</v>
      </c>
      <c r="B166" s="7" t="s">
        <v>30</v>
      </c>
      <c r="C166" s="16">
        <v>1</v>
      </c>
      <c r="D166" s="16">
        <v>1</v>
      </c>
      <c r="E166" s="16">
        <v>2</v>
      </c>
      <c r="F166" s="16">
        <v>1323</v>
      </c>
      <c r="G166" s="16" t="s">
        <v>86</v>
      </c>
      <c r="H166" s="21">
        <v>22.3</v>
      </c>
      <c r="I166" s="16">
        <v>14</v>
      </c>
      <c r="J166" s="16">
        <v>0.52661747799999992</v>
      </c>
      <c r="K166" s="53">
        <f t="shared" si="29"/>
        <v>147.77074175739691</v>
      </c>
      <c r="L166" s="53">
        <f t="shared" si="30"/>
        <v>169.82552958000002</v>
      </c>
      <c r="M166" s="53">
        <f t="shared" si="31"/>
        <v>123.0676211079783</v>
      </c>
      <c r="N166" s="52">
        <f t="shared" si="37"/>
        <v>182.47975058992478</v>
      </c>
      <c r="O166" s="52">
        <f t="shared" si="32"/>
        <v>204.94854456965359</v>
      </c>
      <c r="P166" s="52">
        <f t="shared" si="33"/>
        <v>202.63128668042239</v>
      </c>
      <c r="Q166" s="52">
        <f t="shared" si="34"/>
        <v>233.29363976011305</v>
      </c>
      <c r="R166" s="52">
        <f t="shared" si="35"/>
        <v>219.00401020409018</v>
      </c>
      <c r="S166" s="52">
        <f t="shared" si="36"/>
        <v>217.13181392132125</v>
      </c>
    </row>
    <row r="167" spans="1:19" x14ac:dyDescent="0.3">
      <c r="A167" s="25" t="s">
        <v>85</v>
      </c>
      <c r="B167" s="7" t="s">
        <v>30</v>
      </c>
      <c r="C167" s="16">
        <v>1</v>
      </c>
      <c r="D167" s="16">
        <v>3</v>
      </c>
      <c r="E167" s="16">
        <v>1</v>
      </c>
      <c r="F167" s="16">
        <v>1720</v>
      </c>
      <c r="G167" s="16" t="s">
        <v>86</v>
      </c>
      <c r="H167" s="21">
        <v>24.6</v>
      </c>
      <c r="I167" s="16">
        <v>17.399999999999999</v>
      </c>
      <c r="J167" s="16">
        <v>0.52435211349999999</v>
      </c>
      <c r="K167" s="53">
        <f t="shared" si="29"/>
        <v>205.94266594907864</v>
      </c>
      <c r="L167" s="53">
        <f t="shared" si="30"/>
        <v>256.85302111200008</v>
      </c>
      <c r="M167" s="53">
        <f t="shared" si="31"/>
        <v>177.61356784932002</v>
      </c>
      <c r="N167" s="52">
        <f t="shared" si="37"/>
        <v>276.87767477597674</v>
      </c>
      <c r="O167" s="52">
        <f t="shared" si="32"/>
        <v>308.64148027600527</v>
      </c>
      <c r="P167" s="52">
        <f t="shared" si="33"/>
        <v>302.16804164159043</v>
      </c>
      <c r="Q167" s="52">
        <f t="shared" si="34"/>
        <v>307.56684459306632</v>
      </c>
      <c r="R167" s="52">
        <f t="shared" si="35"/>
        <v>272.70291395181755</v>
      </c>
      <c r="S167" s="52">
        <f t="shared" si="36"/>
        <v>270.53911931154812</v>
      </c>
    </row>
    <row r="168" spans="1:19" x14ac:dyDescent="0.3">
      <c r="A168" s="25" t="s">
        <v>85</v>
      </c>
      <c r="B168" s="13" t="s">
        <v>30</v>
      </c>
      <c r="C168" s="23">
        <v>1</v>
      </c>
      <c r="D168" s="23">
        <v>3</v>
      </c>
      <c r="E168" s="23"/>
      <c r="F168" s="23">
        <v>413</v>
      </c>
      <c r="G168" s="23" t="s">
        <v>86</v>
      </c>
      <c r="H168" s="24">
        <v>40.1</v>
      </c>
      <c r="I168" s="23">
        <v>16.3</v>
      </c>
      <c r="J168" s="16">
        <v>0.59839607350000001</v>
      </c>
      <c r="K168" s="53">
        <f t="shared" si="29"/>
        <v>661.05114760517984</v>
      </c>
      <c r="L168" s="53">
        <f t="shared" si="30"/>
        <v>639.35426325900016</v>
      </c>
      <c r="M168" s="53">
        <f t="shared" si="31"/>
        <v>539.28656116775539</v>
      </c>
      <c r="N168" s="52">
        <f t="shared" si="37"/>
        <v>397.61253360175448</v>
      </c>
      <c r="O168" s="52">
        <f t="shared" si="32"/>
        <v>876.75225727342308</v>
      </c>
      <c r="P168" s="52">
        <f t="shared" si="33"/>
        <v>837.12244607778234</v>
      </c>
      <c r="Q168" s="52">
        <f t="shared" si="34"/>
        <v>972.39111203948471</v>
      </c>
      <c r="R168" s="52">
        <f t="shared" si="35"/>
        <v>968.13420171092071</v>
      </c>
      <c r="S168" s="52">
        <f t="shared" si="36"/>
        <v>955.00725156010026</v>
      </c>
    </row>
    <row r="169" spans="1:19" x14ac:dyDescent="0.3">
      <c r="A169" s="25" t="s">
        <v>85</v>
      </c>
      <c r="B169" s="7" t="s">
        <v>30</v>
      </c>
      <c r="C169" s="16">
        <v>2</v>
      </c>
      <c r="D169" s="16">
        <v>2</v>
      </c>
      <c r="E169" s="16">
        <v>1</v>
      </c>
      <c r="F169" s="16">
        <v>442</v>
      </c>
      <c r="G169" s="16" t="s">
        <v>86</v>
      </c>
      <c r="H169" s="21">
        <v>15.6</v>
      </c>
      <c r="I169" s="16">
        <v>11.6</v>
      </c>
      <c r="J169" s="16">
        <v>0.48454364475</v>
      </c>
      <c r="K169" s="53">
        <f t="shared" si="29"/>
        <v>56.99440543933931</v>
      </c>
      <c r="L169" s="53">
        <f t="shared" si="30"/>
        <v>68.860853567999996</v>
      </c>
      <c r="M169" s="53">
        <f t="shared" si="31"/>
        <v>47.15859715362209</v>
      </c>
      <c r="N169" s="52">
        <f t="shared" si="37"/>
        <v>98.482828709726491</v>
      </c>
      <c r="O169" s="52">
        <f t="shared" si="32"/>
        <v>76.463098976571274</v>
      </c>
      <c r="P169" s="52">
        <f t="shared" si="33"/>
        <v>77.408774117320149</v>
      </c>
      <c r="Q169" s="52">
        <f t="shared" si="34"/>
        <v>94.136458381900852</v>
      </c>
      <c r="R169" s="52">
        <f t="shared" si="35"/>
        <v>88.041669073704099</v>
      </c>
      <c r="S169" s="52">
        <f t="shared" si="36"/>
        <v>87.586030997682187</v>
      </c>
    </row>
    <row r="170" spans="1:19" x14ac:dyDescent="0.3">
      <c r="A170" s="25" t="s">
        <v>85</v>
      </c>
      <c r="B170" s="13" t="s">
        <v>30</v>
      </c>
      <c r="C170" s="23">
        <v>2</v>
      </c>
      <c r="D170" s="23">
        <v>1</v>
      </c>
      <c r="E170" s="23"/>
      <c r="F170" s="23">
        <v>313</v>
      </c>
      <c r="G170" s="23" t="s">
        <v>86</v>
      </c>
      <c r="H170" s="24">
        <v>14.4</v>
      </c>
      <c r="I170" s="23">
        <v>13.3</v>
      </c>
      <c r="J170" s="16">
        <v>0.54965722949999996</v>
      </c>
      <c r="K170" s="53">
        <f t="shared" si="29"/>
        <v>49.665555376640043</v>
      </c>
      <c r="L170" s="53">
        <f t="shared" si="30"/>
        <v>67.273161984000012</v>
      </c>
      <c r="M170" s="53">
        <f t="shared" si="31"/>
        <v>42.529413721648488</v>
      </c>
      <c r="N170" s="52">
        <f t="shared" si="37"/>
        <v>112.03777379423182</v>
      </c>
      <c r="O170" s="52">
        <f t="shared" si="32"/>
        <v>84.738423023937443</v>
      </c>
      <c r="P170" s="52">
        <f t="shared" si="33"/>
        <v>85.575134069886104</v>
      </c>
      <c r="Q170" s="52">
        <f t="shared" si="34"/>
        <v>95.406758699280559</v>
      </c>
      <c r="R170" s="52">
        <f t="shared" si="35"/>
        <v>84.688602589696799</v>
      </c>
      <c r="S170" s="52">
        <f t="shared" si="36"/>
        <v>83.620490131864798</v>
      </c>
    </row>
    <row r="171" spans="1:19" x14ac:dyDescent="0.3">
      <c r="A171" s="25" t="s">
        <v>87</v>
      </c>
      <c r="B171" s="7" t="s">
        <v>30</v>
      </c>
      <c r="C171" s="22">
        <v>1</v>
      </c>
      <c r="D171" s="22">
        <v>3</v>
      </c>
      <c r="E171" s="16">
        <v>1</v>
      </c>
      <c r="F171" s="16">
        <v>1728</v>
      </c>
      <c r="G171" s="16" t="s">
        <v>84</v>
      </c>
      <c r="H171" s="21">
        <v>16.100000000000001</v>
      </c>
      <c r="I171" s="16">
        <v>11.5</v>
      </c>
      <c r="J171" s="16">
        <v>0.27271490774999996</v>
      </c>
      <c r="K171" s="53">
        <f t="shared" si="29"/>
        <v>61.336151073302617</v>
      </c>
      <c r="L171" s="53">
        <f t="shared" si="30"/>
        <v>72.713459595000018</v>
      </c>
      <c r="M171" s="53">
        <f t="shared" si="31"/>
        <v>50.524312482526028</v>
      </c>
      <c r="N171" s="52">
        <f t="shared" si="37"/>
        <v>100.14469053055431</v>
      </c>
      <c r="O171" s="52">
        <f t="shared" si="32"/>
        <v>45.443343721269557</v>
      </c>
      <c r="P171" s="52">
        <f t="shared" si="33"/>
        <v>46.583501783667181</v>
      </c>
      <c r="Q171" s="52">
        <f t="shared" si="34"/>
        <v>54.018687505528568</v>
      </c>
      <c r="R171" s="52">
        <f t="shared" si="35"/>
        <v>49.07825686020027</v>
      </c>
      <c r="S171" s="52">
        <f t="shared" si="36"/>
        <v>50.459309722185289</v>
      </c>
    </row>
    <row r="172" spans="1:19" x14ac:dyDescent="0.3">
      <c r="A172" s="25" t="s">
        <v>87</v>
      </c>
      <c r="B172" s="13" t="s">
        <v>30</v>
      </c>
      <c r="C172" s="14">
        <v>1</v>
      </c>
      <c r="D172" s="14">
        <v>3</v>
      </c>
      <c r="E172" s="23"/>
      <c r="F172" s="23">
        <v>4996</v>
      </c>
      <c r="G172" s="23" t="s">
        <v>84</v>
      </c>
      <c r="H172" s="24">
        <v>17.5</v>
      </c>
      <c r="I172" s="23">
        <v>14</v>
      </c>
      <c r="J172" s="16">
        <v>0.38126894099999997</v>
      </c>
      <c r="K172" s="53">
        <f t="shared" si="29"/>
        <v>81.730499071401255</v>
      </c>
      <c r="L172" s="53">
        <f t="shared" si="30"/>
        <v>104.58498750000001</v>
      </c>
      <c r="M172" s="53">
        <f t="shared" si="31"/>
        <v>69.518897214324355</v>
      </c>
      <c r="N172" s="52">
        <f t="shared" si="37"/>
        <v>145.29184996165822</v>
      </c>
      <c r="O172" s="52">
        <f t="shared" si="32"/>
        <v>91.379203675646238</v>
      </c>
      <c r="P172" s="52">
        <f t="shared" si="33"/>
        <v>92.114536664407069</v>
      </c>
      <c r="Q172" s="52">
        <f t="shared" si="34"/>
        <v>98.792906832332378</v>
      </c>
      <c r="R172" s="52">
        <f t="shared" si="35"/>
        <v>87.057517223944672</v>
      </c>
      <c r="S172" s="52">
        <f t="shared" si="36"/>
        <v>87.838866325717177</v>
      </c>
    </row>
    <row r="173" spans="1:19" x14ac:dyDescent="0.3">
      <c r="A173" s="25" t="s">
        <v>87</v>
      </c>
      <c r="B173" s="13" t="s">
        <v>38</v>
      </c>
      <c r="C173" s="14">
        <v>1</v>
      </c>
      <c r="D173" s="14">
        <v>2</v>
      </c>
      <c r="E173" s="23"/>
      <c r="F173" s="23">
        <v>4999</v>
      </c>
      <c r="G173" s="23" t="s">
        <v>84</v>
      </c>
      <c r="H173" s="24">
        <v>51</v>
      </c>
      <c r="I173" s="23">
        <v>21.4</v>
      </c>
      <c r="J173" s="16">
        <v>0.38791938300000001</v>
      </c>
      <c r="K173" s="53">
        <f t="shared" si="29"/>
        <v>1334.9509803374719</v>
      </c>
      <c r="L173" s="53">
        <f t="shared" si="30"/>
        <v>1357.7485302</v>
      </c>
      <c r="M173" s="53">
        <f t="shared" si="31"/>
        <v>1126.1761969808142</v>
      </c>
      <c r="N173" s="52">
        <f t="shared" si="37"/>
        <v>748.48047290197155</v>
      </c>
      <c r="O173" s="52">
        <f t="shared" si="32"/>
        <v>1207.0003993208156</v>
      </c>
      <c r="P173" s="52">
        <f t="shared" si="33"/>
        <v>1143.6353619833046</v>
      </c>
      <c r="Q173" s="52">
        <f t="shared" si="34"/>
        <v>1110.7952909480296</v>
      </c>
      <c r="R173" s="52">
        <f t="shared" si="35"/>
        <v>1022.0397651551697</v>
      </c>
      <c r="S173" s="52">
        <f t="shared" si="36"/>
        <v>1034.3907689251882</v>
      </c>
    </row>
    <row r="174" spans="1:19" x14ac:dyDescent="0.3">
      <c r="A174" s="25" t="s">
        <v>87</v>
      </c>
      <c r="B174" s="13" t="s">
        <v>38</v>
      </c>
      <c r="C174" s="14">
        <v>1</v>
      </c>
      <c r="D174" s="14">
        <v>1</v>
      </c>
      <c r="E174" s="23"/>
      <c r="F174" s="23">
        <v>460</v>
      </c>
      <c r="G174" s="23" t="s">
        <v>84</v>
      </c>
      <c r="H174" s="24">
        <v>30.2</v>
      </c>
      <c r="I174" s="23">
        <v>13.6</v>
      </c>
      <c r="J174" s="16">
        <v>0.48020866600000001</v>
      </c>
      <c r="K174" s="53">
        <f t="shared" si="29"/>
        <v>306.23212004278639</v>
      </c>
      <c r="L174" s="53">
        <f t="shared" si="30"/>
        <v>302.564527392</v>
      </c>
      <c r="M174" s="53">
        <f t="shared" si="31"/>
        <v>246.95827477668973</v>
      </c>
      <c r="N174" s="52">
        <f t="shared" si="37"/>
        <v>232.40453237614614</v>
      </c>
      <c r="O174" s="52">
        <f t="shared" si="32"/>
        <v>332.96194160418366</v>
      </c>
      <c r="P174" s="52">
        <f t="shared" si="33"/>
        <v>325.38555173088366</v>
      </c>
      <c r="Q174" s="52">
        <f t="shared" si="34"/>
        <v>396.61002019734815</v>
      </c>
      <c r="R174" s="52">
        <f t="shared" si="35"/>
        <v>394.02829269419271</v>
      </c>
      <c r="S174" s="52">
        <f t="shared" si="36"/>
        <v>393.17599562083348</v>
      </c>
    </row>
    <row r="175" spans="1:19" x14ac:dyDescent="0.3">
      <c r="A175" s="25" t="s">
        <v>87</v>
      </c>
      <c r="B175" s="13" t="s">
        <v>38</v>
      </c>
      <c r="C175" s="14">
        <v>1</v>
      </c>
      <c r="D175" s="14">
        <v>1</v>
      </c>
      <c r="E175" s="23"/>
      <c r="F175" s="23">
        <v>203</v>
      </c>
      <c r="G175" s="23" t="s">
        <v>84</v>
      </c>
      <c r="H175" s="24">
        <v>21.4</v>
      </c>
      <c r="I175" s="23">
        <v>11.5</v>
      </c>
      <c r="J175" s="16">
        <v>0.33314518000000004</v>
      </c>
      <c r="K175" s="53">
        <f t="shared" si="29"/>
        <v>122.93788869181564</v>
      </c>
      <c r="L175" s="53">
        <f t="shared" si="30"/>
        <v>128.46671021999998</v>
      </c>
      <c r="M175" s="53">
        <f t="shared" si="31"/>
        <v>98.789648471657216</v>
      </c>
      <c r="N175" s="52">
        <f t="shared" si="37"/>
        <v>130.86608455565636</v>
      </c>
      <c r="O175" s="52">
        <f t="shared" si="32"/>
        <v>98.077803069895467</v>
      </c>
      <c r="P175" s="52">
        <f t="shared" si="33"/>
        <v>98.699322456924676</v>
      </c>
      <c r="Q175" s="52">
        <f t="shared" si="34"/>
        <v>122.16093411704669</v>
      </c>
      <c r="R175" s="52">
        <f t="shared" si="35"/>
        <v>118.15857726826339</v>
      </c>
      <c r="S175" s="52">
        <f t="shared" si="36"/>
        <v>120.23299489375825</v>
      </c>
    </row>
    <row r="176" spans="1:19" x14ac:dyDescent="0.3">
      <c r="A176" s="25" t="s">
        <v>88</v>
      </c>
      <c r="B176" s="7" t="s">
        <v>30</v>
      </c>
      <c r="C176" s="16">
        <v>1</v>
      </c>
      <c r="D176" s="16">
        <v>2</v>
      </c>
      <c r="E176" s="16">
        <v>2</v>
      </c>
      <c r="F176" s="16">
        <v>4972</v>
      </c>
      <c r="G176" s="16" t="s">
        <v>21</v>
      </c>
      <c r="H176" s="31">
        <f>SQRT(14.9^2+7.4^2)</f>
        <v>16.636405861844079</v>
      </c>
      <c r="I176" s="18">
        <v>9.6999999999999993</v>
      </c>
      <c r="J176" s="16">
        <v>0.92542914850000002</v>
      </c>
      <c r="K176" s="53">
        <f t="shared" si="29"/>
        <v>61.827131955242663</v>
      </c>
      <c r="L176" s="53">
        <f t="shared" si="30"/>
        <v>65.487130917000016</v>
      </c>
      <c r="M176" s="53">
        <f t="shared" si="31"/>
        <v>49.083764277441617</v>
      </c>
      <c r="N176" s="52">
        <f t="shared" si="37"/>
        <v>80.098178248135198</v>
      </c>
      <c r="O176" s="52">
        <f t="shared" si="32"/>
        <v>138.88192591909601</v>
      </c>
      <c r="P176" s="52">
        <f t="shared" si="33"/>
        <v>138.60004541137113</v>
      </c>
      <c r="Q176" s="52">
        <f t="shared" si="34"/>
        <v>203.67383890198499</v>
      </c>
      <c r="R176" s="52">
        <f t="shared" si="35"/>
        <v>213.52022465334446</v>
      </c>
      <c r="S176" s="52">
        <f t="shared" si="36"/>
        <v>204.76044424320864</v>
      </c>
    </row>
    <row r="177" spans="1:19" x14ac:dyDescent="0.3">
      <c r="A177" s="25" t="s">
        <v>88</v>
      </c>
      <c r="B177" s="13" t="s">
        <v>30</v>
      </c>
      <c r="C177" s="23">
        <v>2</v>
      </c>
      <c r="D177" s="23">
        <v>1</v>
      </c>
      <c r="E177" s="23"/>
      <c r="F177" s="23">
        <v>424</v>
      </c>
      <c r="G177" s="23" t="s">
        <v>21</v>
      </c>
      <c r="H177" s="24">
        <v>17.600000000000001</v>
      </c>
      <c r="I177" s="23">
        <v>12.7</v>
      </c>
      <c r="J177" s="16">
        <v>0.90652633824999995</v>
      </c>
      <c r="K177" s="53">
        <f t="shared" si="29"/>
        <v>79.524667505994231</v>
      </c>
      <c r="L177" s="53">
        <f t="shared" si="30"/>
        <v>95.960891136000015</v>
      </c>
      <c r="M177" s="53">
        <f t="shared" si="31"/>
        <v>66.304010994509795</v>
      </c>
      <c r="N177" s="52">
        <f t="shared" si="37"/>
        <v>126.28983670346861</v>
      </c>
      <c r="O177" s="52">
        <f t="shared" si="32"/>
        <v>199.35231856888967</v>
      </c>
      <c r="P177" s="52">
        <f t="shared" si="33"/>
        <v>197.22933928072297</v>
      </c>
      <c r="Q177" s="52">
        <f t="shared" si="34"/>
        <v>245.84954835968313</v>
      </c>
      <c r="R177" s="52">
        <f t="shared" si="35"/>
        <v>237.16935561720572</v>
      </c>
      <c r="S177" s="52">
        <f t="shared" si="36"/>
        <v>227.75625544259657</v>
      </c>
    </row>
    <row r="178" spans="1:19" x14ac:dyDescent="0.3">
      <c r="A178" s="25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79</v>
      </c>
      <c r="G178" s="16" t="s">
        <v>21</v>
      </c>
      <c r="H178" s="30">
        <f>SQRT(15.1^2+16.6^2+15.4^2)</f>
        <v>27.21635537686852</v>
      </c>
      <c r="I178" s="16">
        <v>12.7</v>
      </c>
      <c r="J178" s="16">
        <v>0.89703169549999995</v>
      </c>
      <c r="K178" s="53">
        <f t="shared" si="29"/>
        <v>230.71265717335584</v>
      </c>
      <c r="L178" s="53">
        <f t="shared" si="30"/>
        <v>229.47156150299998</v>
      </c>
      <c r="M178" s="53">
        <f t="shared" si="31"/>
        <v>185.19509455977473</v>
      </c>
      <c r="N178" s="52">
        <f t="shared" si="37"/>
        <v>190.26869668458679</v>
      </c>
      <c r="O178" s="52">
        <f t="shared" si="32"/>
        <v>471.71887226333109</v>
      </c>
      <c r="P178" s="52">
        <f t="shared" si="33"/>
        <v>457.14712548225572</v>
      </c>
      <c r="Q178" s="52">
        <f t="shared" si="34"/>
        <v>609.82354056752195</v>
      </c>
      <c r="R178" s="52">
        <f t="shared" si="35"/>
        <v>634.27082997922241</v>
      </c>
      <c r="S178" s="52">
        <f t="shared" si="36"/>
        <v>610.47373329173979</v>
      </c>
    </row>
    <row r="179" spans="1:19" x14ac:dyDescent="0.3">
      <c r="A179" s="25" t="s">
        <v>88</v>
      </c>
      <c r="B179" s="7" t="s">
        <v>30</v>
      </c>
      <c r="C179" s="16">
        <v>2</v>
      </c>
      <c r="D179" s="16">
        <v>1</v>
      </c>
      <c r="E179" s="16">
        <v>1</v>
      </c>
      <c r="F179" s="16">
        <v>87</v>
      </c>
      <c r="G179" s="16" t="s">
        <v>21</v>
      </c>
      <c r="H179" s="30">
        <f>SQRT(9.8^2+10.5^2)</f>
        <v>14.362799170078235</v>
      </c>
      <c r="I179" s="16">
        <v>12.2</v>
      </c>
      <c r="J179" s="16">
        <v>0.95122003050000004</v>
      </c>
      <c r="K179" s="53">
        <f t="shared" si="29"/>
        <v>47.58047947117366</v>
      </c>
      <c r="L179" s="53">
        <f t="shared" si="30"/>
        <v>61.390790034000013</v>
      </c>
      <c r="M179" s="53">
        <f t="shared" si="31"/>
        <v>40.055475628575429</v>
      </c>
      <c r="N179" s="52">
        <f t="shared" si="37"/>
        <v>98.248221512566232</v>
      </c>
      <c r="O179" s="52">
        <f t="shared" si="32"/>
        <v>133.82301227903645</v>
      </c>
      <c r="P179" s="52">
        <f t="shared" si="33"/>
        <v>133.67038590779885</v>
      </c>
      <c r="Q179" s="52">
        <f t="shared" si="34"/>
        <v>166.33787233482079</v>
      </c>
      <c r="R179" s="52">
        <f t="shared" si="35"/>
        <v>157.50508971242982</v>
      </c>
      <c r="S179" s="52">
        <f t="shared" si="36"/>
        <v>150.72228554278081</v>
      </c>
    </row>
    <row r="180" spans="1:19" x14ac:dyDescent="0.3">
      <c r="A180" s="25" t="s">
        <v>88</v>
      </c>
      <c r="B180" s="7" t="s">
        <v>30</v>
      </c>
      <c r="C180" s="16">
        <v>2</v>
      </c>
      <c r="D180" s="16">
        <v>1</v>
      </c>
      <c r="E180" s="16">
        <v>2</v>
      </c>
      <c r="F180" s="16">
        <v>109</v>
      </c>
      <c r="G180" s="16" t="s">
        <v>21</v>
      </c>
      <c r="H180" s="21">
        <v>11.9</v>
      </c>
      <c r="I180" s="16">
        <v>11.7</v>
      </c>
      <c r="J180" s="16">
        <v>0.97034195349999997</v>
      </c>
      <c r="K180" s="53">
        <f t="shared" si="29"/>
        <v>29.520746608002675</v>
      </c>
      <c r="L180" s="53">
        <f t="shared" si="30"/>
        <v>40.415224941000005</v>
      </c>
      <c r="M180" s="53">
        <f t="shared" si="31"/>
        <v>25.051666524537065</v>
      </c>
      <c r="N180" s="52">
        <f t="shared" si="37"/>
        <v>77.335483570311951</v>
      </c>
      <c r="O180" s="52">
        <f t="shared" si="32"/>
        <v>89.870343422699335</v>
      </c>
      <c r="P180" s="52">
        <f t="shared" si="33"/>
        <v>90.62974277157177</v>
      </c>
      <c r="Q180" s="52">
        <f t="shared" si="34"/>
        <v>112.65513744810222</v>
      </c>
      <c r="R180" s="52">
        <f t="shared" si="35"/>
        <v>104.84930255972675</v>
      </c>
      <c r="S180" s="52">
        <f t="shared" si="36"/>
        <v>100.14849617997407</v>
      </c>
    </row>
  </sheetData>
  <autoFilter ref="A1:J180" xr:uid="{23B8809D-DF5A-446B-87C0-7ED045B6C895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20A2-2354-483B-8092-DB6633414853}">
  <dimension ref="A1:U179"/>
  <sheetViews>
    <sheetView zoomScale="80" zoomScaleNormal="80" workbookViewId="0">
      <selection activeCell="J8" sqref="J8"/>
    </sheetView>
  </sheetViews>
  <sheetFormatPr defaultRowHeight="14.4" x14ac:dyDescent="0.3"/>
  <cols>
    <col min="1" max="1" width="42.44140625" style="2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style="2" bestFit="1" customWidth="1"/>
    <col min="8" max="8" width="10.6640625" bestFit="1" customWidth="1"/>
    <col min="9" max="9" width="12.33203125" bestFit="1" customWidth="1"/>
    <col min="10" max="10" width="16.6640625" bestFit="1" customWidth="1"/>
    <col min="11" max="14" width="13.88671875" style="28" bestFit="1" customWidth="1"/>
    <col min="15" max="18" width="13.88671875" style="62" bestFit="1" customWidth="1"/>
    <col min="19" max="19" width="4.109375" customWidth="1"/>
    <col min="20" max="20" width="6" customWidth="1"/>
    <col min="21" max="21" width="92.5546875" bestFit="1" customWidth="1"/>
  </cols>
  <sheetData>
    <row r="1" spans="1:21" s="74" customFormat="1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91</v>
      </c>
      <c r="G1" s="58" t="s">
        <v>92</v>
      </c>
      <c r="H1" s="58" t="s">
        <v>7</v>
      </c>
      <c r="I1" s="58" t="s">
        <v>8</v>
      </c>
      <c r="J1" s="58" t="s">
        <v>93</v>
      </c>
      <c r="K1" s="60" t="s">
        <v>94</v>
      </c>
      <c r="L1" s="60" t="s">
        <v>95</v>
      </c>
      <c r="M1" s="60" t="s">
        <v>96</v>
      </c>
      <c r="N1" s="60" t="s">
        <v>97</v>
      </c>
      <c r="O1" s="61" t="s">
        <v>98</v>
      </c>
      <c r="P1" s="61" t="s">
        <v>99</v>
      </c>
      <c r="Q1" s="61" t="s">
        <v>100</v>
      </c>
      <c r="R1" s="61" t="s">
        <v>101</v>
      </c>
    </row>
    <row r="2" spans="1:21" ht="15.6" x14ac:dyDescent="0.3">
      <c r="A2" s="58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19" t="s">
        <v>21</v>
      </c>
      <c r="H2" s="22">
        <v>13.4</v>
      </c>
      <c r="I2" s="22">
        <v>15.7</v>
      </c>
      <c r="J2" s="53">
        <v>0.55428571428571427</v>
      </c>
      <c r="K2" s="70">
        <f t="shared" ref="K2:K33" si="0" xml:space="preserve"> EXP(-2.134 + 2.53*LN(H2))</f>
        <v>84.098977486623539</v>
      </c>
      <c r="L2" s="70">
        <f t="shared" ref="L2:L33" si="1">(0.02453 *(H2^2.443356)*(I2^0.423602))</f>
        <v>44.689068723234925</v>
      </c>
      <c r="M2" s="70">
        <f>0.024393*((H2^2)*I2)</f>
        <v>68.766111156000008</v>
      </c>
      <c r="N2" s="68">
        <f>10^(-0.717903255+0.940214879*LOG(H2)+1.345432588*LOG(I2)*1.109844005)</f>
        <v>134.14023866060629</v>
      </c>
      <c r="O2" s="69">
        <f t="shared" ref="O2:O33" si="2" xml:space="preserve"> 0.0509*J2*H2^2*I2</f>
        <v>79.535445323428576</v>
      </c>
      <c r="P2" s="69">
        <f t="shared" ref="P2:P33" si="3">((0.0559)*((J2*H2^2*I2)))</f>
        <v>87.348357437714284</v>
      </c>
      <c r="Q2" s="69">
        <f t="shared" ref="Q2:Q33" si="4">((0.0673)*((J2*H2^2*I2)^0.976))</f>
        <v>88.146641243302142</v>
      </c>
      <c r="R2" s="69">
        <f>EXP(-1.305+1.055*LN(H2^2)+0.34*LN(I2)+1.077*LN(J2))</f>
        <v>87.507219962090758</v>
      </c>
      <c r="U2" s="57"/>
    </row>
    <row r="3" spans="1:21" x14ac:dyDescent="0.3">
      <c r="A3" s="58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19" t="s">
        <v>21</v>
      </c>
      <c r="H3" s="22">
        <v>30.8</v>
      </c>
      <c r="I3" s="22">
        <v>22.5</v>
      </c>
      <c r="J3" s="53">
        <v>0.56082474226804124</v>
      </c>
      <c r="K3" s="70">
        <f t="shared" si="0"/>
        <v>690.63548441771218</v>
      </c>
      <c r="L3" s="70">
        <f t="shared" si="1"/>
        <v>397.68946981350473</v>
      </c>
      <c r="M3" s="70">
        <f t="shared" ref="M3:M66" si="5">0.024393*((H3^2)*I3)</f>
        <v>520.65394920000006</v>
      </c>
      <c r="N3" s="68">
        <f t="shared" ref="N3:N66" si="6">10^(-0.717903255+0.940214879*LOG(H3)+1.345432588*LOG(I3)*1.109844005)</f>
        <v>502.0658142902243</v>
      </c>
      <c r="O3" s="69">
        <f t="shared" si="2"/>
        <v>609.29680230927852</v>
      </c>
      <c r="P3" s="69">
        <f t="shared" si="3"/>
        <v>669.1491404536082</v>
      </c>
      <c r="Q3" s="69">
        <f t="shared" si="4"/>
        <v>643.06002634382173</v>
      </c>
      <c r="R3" s="69">
        <f t="shared" ref="R3:R66" si="7">EXP(-1.305+1.055*LN(H3^2)+0.34*LN(I3)+1.077*LN(J3))</f>
        <v>579.85128810732328</v>
      </c>
      <c r="T3" s="27"/>
    </row>
    <row r="4" spans="1:21" x14ac:dyDescent="0.3">
      <c r="A4" s="58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19" t="s">
        <v>21</v>
      </c>
      <c r="H4" s="22">
        <v>38.799999999999997</v>
      </c>
      <c r="I4" s="22">
        <v>17.899999999999999</v>
      </c>
      <c r="J4" s="65">
        <v>0.55384615384615388</v>
      </c>
      <c r="K4" s="70">
        <f t="shared" si="0"/>
        <v>1238.6820419676594</v>
      </c>
      <c r="L4" s="70">
        <f t="shared" si="1"/>
        <v>634.58547533065916</v>
      </c>
      <c r="M4" s="70">
        <f t="shared" si="5"/>
        <v>657.32734276799999</v>
      </c>
      <c r="N4" s="68">
        <f t="shared" si="6"/>
        <v>443.32838858536547</v>
      </c>
      <c r="O4" s="69">
        <f t="shared" si="2"/>
        <v>759.66725819076908</v>
      </c>
      <c r="P4" s="69">
        <f t="shared" si="3"/>
        <v>834.29076095999994</v>
      </c>
      <c r="Q4" s="69">
        <f t="shared" si="4"/>
        <v>797.5298658840743</v>
      </c>
      <c r="R4" s="69">
        <f t="shared" si="7"/>
        <v>861.55058344708834</v>
      </c>
    </row>
    <row r="5" spans="1:21" x14ac:dyDescent="0.3">
      <c r="A5" s="58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19" t="s">
        <v>21</v>
      </c>
      <c r="H5" s="22">
        <v>26.6</v>
      </c>
      <c r="I5" s="22">
        <v>17.2</v>
      </c>
      <c r="J5" s="66">
        <v>0.49723756906077349</v>
      </c>
      <c r="K5" s="70">
        <f t="shared" si="0"/>
        <v>476.61325503947177</v>
      </c>
      <c r="L5" s="70">
        <f t="shared" si="1"/>
        <v>248.0635562800835</v>
      </c>
      <c r="M5" s="70">
        <f t="shared" si="5"/>
        <v>296.86359057600004</v>
      </c>
      <c r="N5" s="68">
        <f t="shared" si="6"/>
        <v>292.89220174543226</v>
      </c>
      <c r="O5" s="69">
        <f t="shared" si="2"/>
        <v>308.01611376795586</v>
      </c>
      <c r="P5" s="69">
        <f t="shared" si="3"/>
        <v>338.27309940331492</v>
      </c>
      <c r="Q5" s="69">
        <f t="shared" si="4"/>
        <v>330.45032493303836</v>
      </c>
      <c r="R5" s="69">
        <f t="shared" si="7"/>
        <v>341.21254017164205</v>
      </c>
    </row>
    <row r="6" spans="1:21" x14ac:dyDescent="0.3">
      <c r="A6" s="58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19" t="s">
        <v>21</v>
      </c>
      <c r="H6" s="22">
        <v>19.2</v>
      </c>
      <c r="I6" s="22">
        <v>9.9</v>
      </c>
      <c r="J6" s="65">
        <v>0.49627791563275436</v>
      </c>
      <c r="K6" s="70">
        <f t="shared" si="0"/>
        <v>208.91406725498325</v>
      </c>
      <c r="L6" s="70">
        <f t="shared" si="1"/>
        <v>88.514081045936805</v>
      </c>
      <c r="M6" s="70">
        <f t="shared" si="5"/>
        <v>89.023131648000003</v>
      </c>
      <c r="N6" s="68">
        <f t="shared" si="6"/>
        <v>94.488364183450912</v>
      </c>
      <c r="O6" s="69">
        <f t="shared" si="2"/>
        <v>92.189271662531027</v>
      </c>
      <c r="P6" s="69">
        <f t="shared" si="3"/>
        <v>101.24519225806451</v>
      </c>
      <c r="Q6" s="69">
        <f t="shared" si="4"/>
        <v>101.80909180625423</v>
      </c>
      <c r="R6" s="69">
        <f t="shared" si="7"/>
        <v>141.84793914579387</v>
      </c>
      <c r="T6" s="27"/>
    </row>
    <row r="7" spans="1:21" x14ac:dyDescent="0.3">
      <c r="A7" s="58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19" t="s">
        <v>21</v>
      </c>
      <c r="H7" s="22">
        <v>14.3</v>
      </c>
      <c r="I7" s="22">
        <v>11.5</v>
      </c>
      <c r="J7" s="53">
        <v>0.50819672131147542</v>
      </c>
      <c r="K7" s="70">
        <f t="shared" si="0"/>
        <v>99.132429630519496</v>
      </c>
      <c r="L7" s="70">
        <f t="shared" si="1"/>
        <v>45.910129091726603</v>
      </c>
      <c r="M7" s="70">
        <f t="shared" si="5"/>
        <v>57.36343255500001</v>
      </c>
      <c r="N7" s="68">
        <f t="shared" si="6"/>
        <v>89.581105255366126</v>
      </c>
      <c r="O7" s="69">
        <f t="shared" si="2"/>
        <v>60.830243713114754</v>
      </c>
      <c r="P7" s="69">
        <f t="shared" si="3"/>
        <v>66.805709696721308</v>
      </c>
      <c r="Q7" s="69">
        <f t="shared" si="4"/>
        <v>67.851459794566196</v>
      </c>
      <c r="R7" s="69">
        <f t="shared" si="7"/>
        <v>82.231519968953521</v>
      </c>
      <c r="T7" s="27"/>
    </row>
    <row r="8" spans="1:21" x14ac:dyDescent="0.3">
      <c r="A8" s="58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19" t="s">
        <v>21</v>
      </c>
      <c r="H8" s="22">
        <v>10.199999999999999</v>
      </c>
      <c r="I8" s="22">
        <v>13.8</v>
      </c>
      <c r="J8" s="65">
        <v>0.65610859728506787</v>
      </c>
      <c r="K8" s="70">
        <f t="shared" si="0"/>
        <v>42.16712682704506</v>
      </c>
      <c r="L8" s="70">
        <f t="shared" si="1"/>
        <v>21.723104442010996</v>
      </c>
      <c r="M8" s="70">
        <f t="shared" si="5"/>
        <v>35.022298536000001</v>
      </c>
      <c r="N8" s="68">
        <f t="shared" si="6"/>
        <v>85.602848344015115</v>
      </c>
      <c r="O8" s="69">
        <f t="shared" si="2"/>
        <v>47.948269846153842</v>
      </c>
      <c r="P8" s="69">
        <f t="shared" si="3"/>
        <v>52.658315999999992</v>
      </c>
      <c r="Q8" s="69">
        <f t="shared" si="4"/>
        <v>53.788929227237517</v>
      </c>
      <c r="R8" s="69">
        <f t="shared" si="7"/>
        <v>56.472083697609506</v>
      </c>
    </row>
    <row r="9" spans="1:21" x14ac:dyDescent="0.3">
      <c r="A9" s="58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19" t="s">
        <v>21</v>
      </c>
      <c r="H9" s="22">
        <v>13</v>
      </c>
      <c r="I9" s="22">
        <v>16.899999999999999</v>
      </c>
      <c r="J9" s="65">
        <v>0.71647509578544066</v>
      </c>
      <c r="K9" s="70">
        <f t="shared" si="0"/>
        <v>77.891892706831428</v>
      </c>
      <c r="L9" s="70">
        <f t="shared" si="1"/>
        <v>42.814707914337959</v>
      </c>
      <c r="M9" s="70">
        <f t="shared" si="5"/>
        <v>69.668847299999996</v>
      </c>
      <c r="N9" s="68">
        <f t="shared" si="6"/>
        <v>145.5285501737153</v>
      </c>
      <c r="O9" s="69">
        <f t="shared" si="2"/>
        <v>104.15791812260537</v>
      </c>
      <c r="P9" s="69">
        <f t="shared" si="3"/>
        <v>114.38954072796935</v>
      </c>
      <c r="Q9" s="69">
        <f t="shared" si="4"/>
        <v>114.69016682393941</v>
      </c>
      <c r="R9" s="69">
        <f t="shared" si="7"/>
        <v>110.96837794706217</v>
      </c>
    </row>
    <row r="10" spans="1:21" x14ac:dyDescent="0.3">
      <c r="A10" s="58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19" t="s">
        <v>21</v>
      </c>
      <c r="H10" s="22">
        <v>15.6</v>
      </c>
      <c r="I10" s="22">
        <v>15.5</v>
      </c>
      <c r="J10" s="66">
        <v>0.72508591065292094</v>
      </c>
      <c r="K10" s="70">
        <f t="shared" si="0"/>
        <v>123.54375848971559</v>
      </c>
      <c r="L10" s="70">
        <f t="shared" si="1"/>
        <v>64.439562374360008</v>
      </c>
      <c r="M10" s="70">
        <f t="shared" si="5"/>
        <v>92.012347439999999</v>
      </c>
      <c r="N10" s="68">
        <f t="shared" si="6"/>
        <v>151.81605107719457</v>
      </c>
      <c r="O10" s="69">
        <f t="shared" si="2"/>
        <v>139.21567694845359</v>
      </c>
      <c r="P10" s="69">
        <f t="shared" si="3"/>
        <v>152.89108725773195</v>
      </c>
      <c r="Q10" s="69">
        <f t="shared" si="4"/>
        <v>152.22926017744911</v>
      </c>
      <c r="R10" s="69">
        <f t="shared" si="7"/>
        <v>160.35807576360671</v>
      </c>
      <c r="T10" s="27"/>
      <c r="U10" s="26"/>
    </row>
    <row r="11" spans="1:21" x14ac:dyDescent="0.3">
      <c r="A11" s="58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19" t="s">
        <v>21</v>
      </c>
      <c r="H11" s="22">
        <v>14</v>
      </c>
      <c r="I11" s="22">
        <v>14.2</v>
      </c>
      <c r="J11" s="67">
        <v>0.69483568075117375</v>
      </c>
      <c r="K11" s="70">
        <f t="shared" si="0"/>
        <v>93.954915410988093</v>
      </c>
      <c r="L11" s="70">
        <f t="shared" si="1"/>
        <v>47.665923122393345</v>
      </c>
      <c r="M11" s="70">
        <f t="shared" si="5"/>
        <v>67.890597600000007</v>
      </c>
      <c r="N11" s="68">
        <f t="shared" si="6"/>
        <v>120.31609151594604</v>
      </c>
      <c r="O11" s="69">
        <f t="shared" si="2"/>
        <v>98.433813333333319</v>
      </c>
      <c r="P11" s="69">
        <f t="shared" si="3"/>
        <v>108.10314666666666</v>
      </c>
      <c r="Q11" s="69">
        <f t="shared" si="4"/>
        <v>108.53438638693694</v>
      </c>
      <c r="R11" s="69">
        <f t="shared" si="7"/>
        <v>118.32075386964489</v>
      </c>
      <c r="T11" s="27"/>
    </row>
    <row r="12" spans="1:21" x14ac:dyDescent="0.3">
      <c r="A12" s="58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19" t="s">
        <v>21</v>
      </c>
      <c r="H12" s="22">
        <v>10.7</v>
      </c>
      <c r="I12" s="22">
        <v>12.3</v>
      </c>
      <c r="J12" s="65">
        <v>0.67073170731707321</v>
      </c>
      <c r="K12" s="70">
        <f t="shared" si="0"/>
        <v>47.594474183359388</v>
      </c>
      <c r="L12" s="70">
        <f t="shared" si="1"/>
        <v>23.255975580088041</v>
      </c>
      <c r="M12" s="70">
        <f t="shared" si="5"/>
        <v>34.350881211000001</v>
      </c>
      <c r="N12" s="68">
        <f t="shared" si="6"/>
        <v>75.406210770962389</v>
      </c>
      <c r="O12" s="69">
        <f t="shared" si="2"/>
        <v>48.07721325</v>
      </c>
      <c r="P12" s="69">
        <f t="shared" si="3"/>
        <v>52.799925749999993</v>
      </c>
      <c r="Q12" s="69">
        <f t="shared" si="4"/>
        <v>53.930103286993706</v>
      </c>
      <c r="R12" s="69">
        <f t="shared" si="7"/>
        <v>61.518580731528658</v>
      </c>
    </row>
    <row r="13" spans="1:21" x14ac:dyDescent="0.3">
      <c r="A13" s="58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19" t="s">
        <v>21</v>
      </c>
      <c r="H13" s="22">
        <v>18.3</v>
      </c>
      <c r="I13" s="22">
        <v>12.8</v>
      </c>
      <c r="J13" s="65">
        <v>0.703125</v>
      </c>
      <c r="K13" s="70">
        <f t="shared" si="0"/>
        <v>185.01921441982611</v>
      </c>
      <c r="L13" s="70">
        <f t="shared" si="1"/>
        <v>87.767019553705964</v>
      </c>
      <c r="M13" s="70">
        <f t="shared" si="5"/>
        <v>104.56283865600003</v>
      </c>
      <c r="N13" s="68">
        <f t="shared" si="6"/>
        <v>132.55021535571171</v>
      </c>
      <c r="O13" s="69">
        <f t="shared" si="2"/>
        <v>153.41310900000005</v>
      </c>
      <c r="P13" s="69">
        <f t="shared" si="3"/>
        <v>168.483159</v>
      </c>
      <c r="Q13" s="69">
        <f t="shared" si="4"/>
        <v>167.3633192995633</v>
      </c>
      <c r="R13" s="69">
        <f t="shared" si="7"/>
        <v>203.57429313665691</v>
      </c>
      <c r="T13" s="27"/>
      <c r="U13" s="73"/>
    </row>
    <row r="14" spans="1:21" x14ac:dyDescent="0.3">
      <c r="A14" s="58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19" t="s">
        <v>37</v>
      </c>
      <c r="H14" s="22">
        <v>21.1</v>
      </c>
      <c r="I14" s="22">
        <v>16</v>
      </c>
      <c r="J14" s="65">
        <v>0.39500000000000002</v>
      </c>
      <c r="K14" s="70">
        <f t="shared" si="0"/>
        <v>265.24682097801775</v>
      </c>
      <c r="L14" s="70">
        <f t="shared" si="1"/>
        <v>136.60250515356253</v>
      </c>
      <c r="M14" s="70">
        <f t="shared" si="5"/>
        <v>173.76012048000001</v>
      </c>
      <c r="N14" s="68">
        <f t="shared" si="6"/>
        <v>211.45755458962046</v>
      </c>
      <c r="O14" s="69">
        <f t="shared" si="2"/>
        <v>143.21871448000002</v>
      </c>
      <c r="P14" s="69">
        <f t="shared" si="3"/>
        <v>157.28735048000001</v>
      </c>
      <c r="Q14" s="69">
        <f t="shared" si="4"/>
        <v>156.49997963500013</v>
      </c>
      <c r="R14" s="69">
        <f t="shared" si="7"/>
        <v>159.37402756056949</v>
      </c>
    </row>
    <row r="15" spans="1:21" x14ac:dyDescent="0.3">
      <c r="A15" s="58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19" t="s">
        <v>37</v>
      </c>
      <c r="H15" s="22">
        <v>18.100000000000001</v>
      </c>
      <c r="I15" s="22">
        <v>13.3</v>
      </c>
      <c r="J15" s="65">
        <v>0.46368715083798884</v>
      </c>
      <c r="K15" s="70">
        <f t="shared" si="0"/>
        <v>179.94607160887639</v>
      </c>
      <c r="L15" s="70">
        <f t="shared" si="1"/>
        <v>86.840005642575207</v>
      </c>
      <c r="M15" s="70">
        <f t="shared" si="5"/>
        <v>106.28549670900004</v>
      </c>
      <c r="N15" s="68">
        <f t="shared" si="6"/>
        <v>138.91301245775276</v>
      </c>
      <c r="O15" s="69">
        <f t="shared" si="2"/>
        <v>102.83752939162014</v>
      </c>
      <c r="P15" s="69">
        <f t="shared" si="3"/>
        <v>112.93944779944138</v>
      </c>
      <c r="Q15" s="69">
        <f t="shared" si="4"/>
        <v>113.27093981115826</v>
      </c>
      <c r="R15" s="69">
        <f t="shared" si="7"/>
        <v>128.70085828195721</v>
      </c>
    </row>
    <row r="16" spans="1:21" x14ac:dyDescent="0.3">
      <c r="A16" s="58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19" t="s">
        <v>37</v>
      </c>
      <c r="H16" s="22">
        <v>16</v>
      </c>
      <c r="I16" s="22">
        <v>13.6</v>
      </c>
      <c r="J16" s="65">
        <v>0.42857142857142855</v>
      </c>
      <c r="K16" s="70">
        <f t="shared" si="0"/>
        <v>131.71618146073786</v>
      </c>
      <c r="L16" s="70">
        <f t="shared" si="1"/>
        <v>64.857571218208847</v>
      </c>
      <c r="M16" s="70">
        <f t="shared" si="5"/>
        <v>84.926668800000002</v>
      </c>
      <c r="N16" s="68">
        <f t="shared" si="6"/>
        <v>127.89441167183098</v>
      </c>
      <c r="O16" s="69">
        <f t="shared" si="2"/>
        <v>75.948617142857131</v>
      </c>
      <c r="P16" s="69">
        <f t="shared" si="3"/>
        <v>83.409188571428558</v>
      </c>
      <c r="Q16" s="69">
        <f t="shared" si="4"/>
        <v>84.264743373937264</v>
      </c>
      <c r="R16" s="69">
        <f t="shared" si="7"/>
        <v>91.839835170302948</v>
      </c>
      <c r="T16" s="27"/>
    </row>
    <row r="17" spans="1:20" x14ac:dyDescent="0.3">
      <c r="A17" s="58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19" t="s">
        <v>37</v>
      </c>
      <c r="H17" s="22">
        <v>14.3</v>
      </c>
      <c r="I17" s="22">
        <v>13</v>
      </c>
      <c r="J17" s="65">
        <v>0.40625</v>
      </c>
      <c r="K17" s="70">
        <f t="shared" si="0"/>
        <v>99.132429630519496</v>
      </c>
      <c r="L17" s="70">
        <f t="shared" si="1"/>
        <v>48.357453100469129</v>
      </c>
      <c r="M17" s="70">
        <f t="shared" si="5"/>
        <v>64.845619409999998</v>
      </c>
      <c r="N17" s="68">
        <f t="shared" si="6"/>
        <v>107.57805682545897</v>
      </c>
      <c r="O17" s="69">
        <f t="shared" si="2"/>
        <v>54.970107156250002</v>
      </c>
      <c r="P17" s="69">
        <f t="shared" si="3"/>
        <v>60.369921218749994</v>
      </c>
      <c r="Q17" s="69">
        <f t="shared" si="4"/>
        <v>61.464174648886299</v>
      </c>
      <c r="R17" s="69">
        <f t="shared" si="7"/>
        <v>67.362150563262205</v>
      </c>
      <c r="T17" s="27"/>
    </row>
    <row r="18" spans="1:20" x14ac:dyDescent="0.3">
      <c r="A18" s="58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19" t="s">
        <v>37</v>
      </c>
      <c r="H18" s="22">
        <v>23.3</v>
      </c>
      <c r="I18" s="22">
        <v>14</v>
      </c>
      <c r="J18" s="65">
        <v>0.43792325056433407</v>
      </c>
      <c r="K18" s="70">
        <f t="shared" si="0"/>
        <v>340.89925789642552</v>
      </c>
      <c r="L18" s="70">
        <f t="shared" si="1"/>
        <v>164.48904158812033</v>
      </c>
      <c r="M18" s="70">
        <f t="shared" si="5"/>
        <v>185.39802078000002</v>
      </c>
      <c r="N18" s="68">
        <f t="shared" si="6"/>
        <v>190.16332694504101</v>
      </c>
      <c r="O18" s="69">
        <f t="shared" si="2"/>
        <v>169.41648378329569</v>
      </c>
      <c r="P18" s="69">
        <f t="shared" si="3"/>
        <v>186.0585745282167</v>
      </c>
      <c r="Q18" s="69">
        <f t="shared" si="4"/>
        <v>184.38230356964721</v>
      </c>
      <c r="R18" s="69">
        <f t="shared" si="7"/>
        <v>209.81468271339196</v>
      </c>
    </row>
    <row r="19" spans="1:20" x14ac:dyDescent="0.3">
      <c r="A19" s="58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19" t="s">
        <v>37</v>
      </c>
      <c r="H19" s="22">
        <v>12</v>
      </c>
      <c r="I19" s="22">
        <v>8.1999999999999993</v>
      </c>
      <c r="J19" s="65">
        <v>0.45070422535211269</v>
      </c>
      <c r="K19" s="70">
        <f t="shared" si="0"/>
        <v>63.612743766664323</v>
      </c>
      <c r="L19" s="70">
        <f t="shared" si="1"/>
        <v>25.918800347020802</v>
      </c>
      <c r="M19" s="70">
        <f t="shared" si="5"/>
        <v>28.8032544</v>
      </c>
      <c r="N19" s="68">
        <f t="shared" si="6"/>
        <v>45.844199849688202</v>
      </c>
      <c r="O19" s="69">
        <f t="shared" si="2"/>
        <v>27.088549859154931</v>
      </c>
      <c r="P19" s="69">
        <f t="shared" si="3"/>
        <v>29.749507605633802</v>
      </c>
      <c r="Q19" s="69">
        <f t="shared" si="4"/>
        <v>30.807567373997031</v>
      </c>
      <c r="R19" s="69">
        <f t="shared" si="7"/>
        <v>44.48935660933217</v>
      </c>
    </row>
    <row r="20" spans="1:20" x14ac:dyDescent="0.3">
      <c r="A20" s="58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19" t="s">
        <v>45</v>
      </c>
      <c r="H20" s="22">
        <v>15.2</v>
      </c>
      <c r="I20" s="22">
        <v>13.9</v>
      </c>
      <c r="J20" s="65">
        <v>0.58227848101265822</v>
      </c>
      <c r="K20" s="70">
        <f t="shared" si="0"/>
        <v>115.68574643748518</v>
      </c>
      <c r="L20" s="70">
        <f t="shared" si="1"/>
        <v>57.749140557106642</v>
      </c>
      <c r="M20" s="70">
        <f t="shared" si="5"/>
        <v>78.337046208000004</v>
      </c>
      <c r="N20" s="68">
        <f t="shared" si="6"/>
        <v>125.90893913864643</v>
      </c>
      <c r="O20" s="69">
        <f t="shared" si="2"/>
        <v>95.181051625316456</v>
      </c>
      <c r="P20" s="69">
        <f t="shared" si="3"/>
        <v>104.53086023291139</v>
      </c>
      <c r="Q20" s="69">
        <f t="shared" si="4"/>
        <v>105.03252244550795</v>
      </c>
      <c r="R20" s="69">
        <f t="shared" si="7"/>
        <v>115.50652308880539</v>
      </c>
      <c r="T20" s="27"/>
    </row>
    <row r="21" spans="1:20" x14ac:dyDescent="0.3">
      <c r="A21" s="58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19" t="s">
        <v>45</v>
      </c>
      <c r="H21" s="22">
        <v>14.9</v>
      </c>
      <c r="I21" s="22">
        <v>14.9</v>
      </c>
      <c r="J21" s="65">
        <v>0.53846153846153844</v>
      </c>
      <c r="K21" s="70">
        <f t="shared" si="0"/>
        <v>109.99598540047349</v>
      </c>
      <c r="L21" s="70">
        <f t="shared" si="1"/>
        <v>56.646529284036639</v>
      </c>
      <c r="M21" s="70">
        <f t="shared" si="5"/>
        <v>80.690799957000024</v>
      </c>
      <c r="N21" s="68">
        <f t="shared" si="6"/>
        <v>137.07854076142746</v>
      </c>
      <c r="O21" s="69">
        <f t="shared" si="2"/>
        <v>90.663248361538464</v>
      </c>
      <c r="P21" s="69">
        <f t="shared" si="3"/>
        <v>99.569264900000007</v>
      </c>
      <c r="Q21" s="69">
        <f t="shared" si="4"/>
        <v>100.16394782751173</v>
      </c>
      <c r="R21" s="69">
        <f t="shared" si="7"/>
        <v>104.23310073500977</v>
      </c>
    </row>
    <row r="22" spans="1:20" x14ac:dyDescent="0.3">
      <c r="A22" s="58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19" t="s">
        <v>45</v>
      </c>
      <c r="H22" s="22">
        <v>13.7</v>
      </c>
      <c r="I22" s="22">
        <v>13.3</v>
      </c>
      <c r="J22" s="67">
        <v>0.49342105263157893</v>
      </c>
      <c r="K22" s="70">
        <f t="shared" si="0"/>
        <v>88.94440014742446</v>
      </c>
      <c r="L22" s="70">
        <f t="shared" si="1"/>
        <v>43.972015168245861</v>
      </c>
      <c r="M22" s="70">
        <f t="shared" si="5"/>
        <v>60.891684860999995</v>
      </c>
      <c r="N22" s="68">
        <f t="shared" si="6"/>
        <v>106.90952769132673</v>
      </c>
      <c r="O22" s="69">
        <f t="shared" si="2"/>
        <v>62.694325312499984</v>
      </c>
      <c r="P22" s="69">
        <f t="shared" si="3"/>
        <v>68.85290343749999</v>
      </c>
      <c r="Q22" s="69">
        <f t="shared" si="4"/>
        <v>69.880059184368903</v>
      </c>
      <c r="R22" s="69">
        <f t="shared" si="7"/>
        <v>76.459436363136234</v>
      </c>
    </row>
    <row r="23" spans="1:20" x14ac:dyDescent="0.3">
      <c r="A23" s="58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19" t="s">
        <v>45</v>
      </c>
      <c r="H23" s="22">
        <v>14.6</v>
      </c>
      <c r="I23" s="22">
        <v>11.2</v>
      </c>
      <c r="J23" s="65">
        <v>0.54658385093167705</v>
      </c>
      <c r="K23" s="70">
        <f t="shared" si="0"/>
        <v>104.47883005194718</v>
      </c>
      <c r="L23" s="70">
        <f t="shared" si="1"/>
        <v>47.761387774507611</v>
      </c>
      <c r="M23" s="70">
        <f t="shared" si="5"/>
        <v>58.235653055999997</v>
      </c>
      <c r="N23" s="68">
        <f t="shared" si="6"/>
        <v>87.811676042500451</v>
      </c>
      <c r="O23" s="69">
        <f t="shared" si="2"/>
        <v>66.419914573913047</v>
      </c>
      <c r="P23" s="69">
        <f t="shared" si="3"/>
        <v>72.944464139130432</v>
      </c>
      <c r="Q23" s="69">
        <f t="shared" si="4"/>
        <v>73.930162681484205</v>
      </c>
      <c r="R23" s="69">
        <f t="shared" si="7"/>
        <v>92.091749595943767</v>
      </c>
    </row>
    <row r="24" spans="1:20" x14ac:dyDescent="0.3">
      <c r="A24" s="58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19" t="s">
        <v>45</v>
      </c>
      <c r="H24" s="22">
        <v>13.7</v>
      </c>
      <c r="I24" s="22">
        <v>12.6</v>
      </c>
      <c r="J24" s="65">
        <v>0.61250000000000004</v>
      </c>
      <c r="K24" s="70">
        <f t="shared" si="0"/>
        <v>88.94440014742446</v>
      </c>
      <c r="L24" s="70">
        <f t="shared" si="1"/>
        <v>42.976369993304075</v>
      </c>
      <c r="M24" s="70">
        <f t="shared" si="5"/>
        <v>57.686859341999984</v>
      </c>
      <c r="N24" s="68">
        <f t="shared" si="6"/>
        <v>98.617493947276444</v>
      </c>
      <c r="O24" s="69">
        <f t="shared" si="2"/>
        <v>73.728526567499998</v>
      </c>
      <c r="P24" s="69">
        <f t="shared" si="3"/>
        <v>80.971014442499992</v>
      </c>
      <c r="Q24" s="69">
        <f t="shared" si="4"/>
        <v>81.859824675151643</v>
      </c>
      <c r="R24" s="69">
        <f t="shared" si="7"/>
        <v>94.746973314952882</v>
      </c>
    </row>
    <row r="25" spans="1:20" x14ac:dyDescent="0.3">
      <c r="A25" s="58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19" t="s">
        <v>45</v>
      </c>
      <c r="H25" s="22">
        <v>11.6</v>
      </c>
      <c r="I25" s="22">
        <v>8.5</v>
      </c>
      <c r="J25" s="65">
        <v>0.56896551724137934</v>
      </c>
      <c r="K25" s="70">
        <f t="shared" si="0"/>
        <v>58.384059465890132</v>
      </c>
      <c r="L25" s="70">
        <f t="shared" si="1"/>
        <v>24.224291211193648</v>
      </c>
      <c r="M25" s="70">
        <f t="shared" si="5"/>
        <v>27.899737680000001</v>
      </c>
      <c r="N25" s="68">
        <f t="shared" si="6"/>
        <v>46.853623579190248</v>
      </c>
      <c r="O25" s="69">
        <f t="shared" si="2"/>
        <v>33.123684000000004</v>
      </c>
      <c r="P25" s="69">
        <f t="shared" si="3"/>
        <v>36.377483999999995</v>
      </c>
      <c r="Q25" s="69">
        <f t="shared" si="4"/>
        <v>37.489859626692365</v>
      </c>
      <c r="R25" s="69">
        <f t="shared" si="7"/>
        <v>53.886758182957649</v>
      </c>
    </row>
    <row r="26" spans="1:20" x14ac:dyDescent="0.3">
      <c r="A26" s="58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19" t="s">
        <v>21</v>
      </c>
      <c r="H26" s="22">
        <v>14.9</v>
      </c>
      <c r="I26" s="22">
        <v>13.8</v>
      </c>
      <c r="J26" s="65">
        <v>0.34926470588235292</v>
      </c>
      <c r="K26" s="70">
        <f t="shared" si="0"/>
        <v>109.99598540047349</v>
      </c>
      <c r="L26" s="70">
        <f t="shared" si="1"/>
        <v>54.835816821976017</v>
      </c>
      <c r="M26" s="70">
        <f t="shared" si="5"/>
        <v>74.733761034000011</v>
      </c>
      <c r="N26" s="68">
        <f t="shared" si="6"/>
        <v>122.24595919482643</v>
      </c>
      <c r="O26" s="69">
        <f t="shared" si="2"/>
        <v>54.465827569852941</v>
      </c>
      <c r="P26" s="69">
        <f t="shared" si="3"/>
        <v>59.816105327205889</v>
      </c>
      <c r="Q26" s="69">
        <f t="shared" si="4"/>
        <v>60.913792127941662</v>
      </c>
      <c r="R26" s="69">
        <f t="shared" si="7"/>
        <v>63.709651595653597</v>
      </c>
    </row>
    <row r="27" spans="1:20" x14ac:dyDescent="0.3">
      <c r="A27" s="58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19" t="s">
        <v>21</v>
      </c>
      <c r="H27" s="22">
        <v>16.7</v>
      </c>
      <c r="I27" s="22">
        <v>16.2</v>
      </c>
      <c r="J27" s="65">
        <v>0.33214285714285713</v>
      </c>
      <c r="K27" s="70">
        <f t="shared" si="0"/>
        <v>146.78722072945141</v>
      </c>
      <c r="L27" s="70">
        <f t="shared" si="1"/>
        <v>77.550062734419853</v>
      </c>
      <c r="M27" s="70">
        <f t="shared" si="5"/>
        <v>110.20801307400001</v>
      </c>
      <c r="N27" s="68">
        <f t="shared" si="6"/>
        <v>172.89615176405852</v>
      </c>
      <c r="O27" s="69">
        <f t="shared" si="2"/>
        <v>76.381935023571415</v>
      </c>
      <c r="P27" s="69">
        <f t="shared" si="3"/>
        <v>83.885072059285704</v>
      </c>
      <c r="Q27" s="69">
        <f t="shared" si="4"/>
        <v>84.733937733562911</v>
      </c>
      <c r="R27" s="69">
        <f t="shared" si="7"/>
        <v>81.073607116089761</v>
      </c>
    </row>
    <row r="28" spans="1:20" x14ac:dyDescent="0.3">
      <c r="A28" s="58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19" t="s">
        <v>21</v>
      </c>
      <c r="H28" s="22">
        <v>15.9</v>
      </c>
      <c r="I28" s="22">
        <v>10.7</v>
      </c>
      <c r="J28" s="65">
        <v>0.34365325077399383</v>
      </c>
      <c r="K28" s="70">
        <f t="shared" si="0"/>
        <v>129.64336654416385</v>
      </c>
      <c r="L28" s="70">
        <f t="shared" si="1"/>
        <v>57.701545722342907</v>
      </c>
      <c r="M28" s="70">
        <f t="shared" si="5"/>
        <v>65.984699331000002</v>
      </c>
      <c r="N28" s="68">
        <f t="shared" si="6"/>
        <v>88.871997570816845</v>
      </c>
      <c r="O28" s="69">
        <f t="shared" si="2"/>
        <v>47.316897966873071</v>
      </c>
      <c r="P28" s="69">
        <f t="shared" si="3"/>
        <v>51.964923307430347</v>
      </c>
      <c r="Q28" s="69">
        <f t="shared" si="4"/>
        <v>53.09753788008603</v>
      </c>
      <c r="R28" s="69">
        <f t="shared" si="7"/>
        <v>65.854559551240499</v>
      </c>
    </row>
    <row r="29" spans="1:20" x14ac:dyDescent="0.3">
      <c r="A29" s="58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19" t="s">
        <v>21</v>
      </c>
      <c r="H29" s="22">
        <v>24.5</v>
      </c>
      <c r="I29" s="22">
        <v>11.9</v>
      </c>
      <c r="J29" s="65">
        <v>0.34666666666666668</v>
      </c>
      <c r="K29" s="70">
        <f t="shared" si="0"/>
        <v>387.08448914393875</v>
      </c>
      <c r="L29" s="70">
        <f t="shared" si="1"/>
        <v>173.59158932450023</v>
      </c>
      <c r="M29" s="70">
        <f t="shared" si="5"/>
        <v>174.23858917500002</v>
      </c>
      <c r="N29" s="68">
        <f t="shared" si="6"/>
        <v>156.40114010938478</v>
      </c>
      <c r="O29" s="69">
        <f t="shared" si="2"/>
        <v>126.04017486666669</v>
      </c>
      <c r="P29" s="69">
        <f t="shared" si="3"/>
        <v>138.42133153333336</v>
      </c>
      <c r="Q29" s="69">
        <f t="shared" si="4"/>
        <v>138.15139982167074</v>
      </c>
      <c r="R29" s="69">
        <f t="shared" si="7"/>
        <v>171.61586003723787</v>
      </c>
    </row>
    <row r="30" spans="1:20" x14ac:dyDescent="0.3">
      <c r="A30" s="58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19" t="s">
        <v>21</v>
      </c>
      <c r="H30" s="22">
        <v>24.4</v>
      </c>
      <c r="I30" s="22">
        <v>19</v>
      </c>
      <c r="J30" s="65">
        <v>0.35307517084282458</v>
      </c>
      <c r="K30" s="70">
        <f t="shared" si="0"/>
        <v>383.09972149033246</v>
      </c>
      <c r="L30" s="70">
        <f t="shared" si="1"/>
        <v>209.54021616539788</v>
      </c>
      <c r="M30" s="70">
        <f t="shared" si="5"/>
        <v>275.92971311999997</v>
      </c>
      <c r="N30" s="68">
        <f t="shared" si="6"/>
        <v>313.33010772141915</v>
      </c>
      <c r="O30" s="69">
        <f t="shared" si="2"/>
        <v>203.29102888382681</v>
      </c>
      <c r="P30" s="69">
        <f t="shared" si="3"/>
        <v>223.26067808656032</v>
      </c>
      <c r="Q30" s="69">
        <f t="shared" si="4"/>
        <v>220.28345801352725</v>
      </c>
      <c r="R30" s="69">
        <f t="shared" si="7"/>
        <v>203.45455136172177</v>
      </c>
    </row>
    <row r="31" spans="1:20" x14ac:dyDescent="0.3">
      <c r="A31" s="58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19" t="s">
        <v>21</v>
      </c>
      <c r="H31" s="22">
        <v>14.4</v>
      </c>
      <c r="I31" s="22">
        <v>11.9</v>
      </c>
      <c r="J31" s="65">
        <v>0.34420289855072461</v>
      </c>
      <c r="K31" s="70">
        <f t="shared" si="0"/>
        <v>100.8957053124434</v>
      </c>
      <c r="L31" s="70">
        <f t="shared" si="1"/>
        <v>47.379812463008413</v>
      </c>
      <c r="M31" s="70">
        <f t="shared" si="5"/>
        <v>60.191776512000011</v>
      </c>
      <c r="N31" s="68">
        <f t="shared" si="6"/>
        <v>94.893167399390066</v>
      </c>
      <c r="O31" s="69">
        <f t="shared" si="2"/>
        <v>43.231892869565215</v>
      </c>
      <c r="P31" s="69">
        <f t="shared" si="3"/>
        <v>47.478640695652167</v>
      </c>
      <c r="Q31" s="69">
        <f t="shared" si="4"/>
        <v>48.618712938934173</v>
      </c>
      <c r="R31" s="69">
        <f t="shared" si="7"/>
        <v>55.491410988053303</v>
      </c>
    </row>
    <row r="32" spans="1:20" x14ac:dyDescent="0.3">
      <c r="A32" s="58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19" t="s">
        <v>21</v>
      </c>
      <c r="H32" s="22">
        <v>11.9</v>
      </c>
      <c r="I32" s="22">
        <v>10.7</v>
      </c>
      <c r="J32" s="65">
        <v>0.5829596412556054</v>
      </c>
      <c r="K32" s="70">
        <f t="shared" si="0"/>
        <v>62.280112436143334</v>
      </c>
      <c r="L32" s="70">
        <f t="shared" si="1"/>
        <v>28.424360108786871</v>
      </c>
      <c r="M32" s="70">
        <f t="shared" si="5"/>
        <v>36.960932211000006</v>
      </c>
      <c r="N32" s="68">
        <f t="shared" si="6"/>
        <v>67.676633362222702</v>
      </c>
      <c r="O32" s="69">
        <f t="shared" si="2"/>
        <v>44.960793986547088</v>
      </c>
      <c r="P32" s="69">
        <f t="shared" si="3"/>
        <v>49.377374928251122</v>
      </c>
      <c r="Q32" s="69">
        <f t="shared" si="4"/>
        <v>50.515477833262089</v>
      </c>
      <c r="R32" s="69">
        <f t="shared" si="7"/>
        <v>63.129583927042276</v>
      </c>
    </row>
    <row r="33" spans="1:18" x14ac:dyDescent="0.3">
      <c r="A33" s="58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19" t="s">
        <v>21</v>
      </c>
      <c r="H33" s="22">
        <v>11.2</v>
      </c>
      <c r="I33" s="22">
        <v>9.6</v>
      </c>
      <c r="J33" s="65">
        <v>0.5892857142857143</v>
      </c>
      <c r="K33" s="70">
        <f t="shared" si="0"/>
        <v>53.424094875784782</v>
      </c>
      <c r="L33" s="70">
        <f t="shared" si="1"/>
        <v>23.410072466227707</v>
      </c>
      <c r="M33" s="70">
        <f t="shared" si="5"/>
        <v>29.374636031999994</v>
      </c>
      <c r="N33" s="68">
        <f t="shared" si="6"/>
        <v>54.36688852501856</v>
      </c>
      <c r="O33" s="69">
        <f t="shared" si="2"/>
        <v>36.120268799999998</v>
      </c>
      <c r="P33" s="69">
        <f t="shared" si="3"/>
        <v>39.668428799999987</v>
      </c>
      <c r="Q33" s="69">
        <f t="shared" si="4"/>
        <v>40.79655195191517</v>
      </c>
      <c r="R33" s="69">
        <f t="shared" si="7"/>
        <v>54.163778867979232</v>
      </c>
    </row>
    <row r="34" spans="1:18" x14ac:dyDescent="0.3">
      <c r="A34" s="58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19" t="s">
        <v>21</v>
      </c>
      <c r="H34" s="22">
        <v>22.2</v>
      </c>
      <c r="I34" s="22">
        <v>20</v>
      </c>
      <c r="J34" s="65">
        <v>0.5728952772073922</v>
      </c>
      <c r="K34" s="70">
        <f t="shared" ref="K34:K65" si="8" xml:space="preserve"> EXP(-2.134 + 2.53*LN(H34))</f>
        <v>301.63977000787838</v>
      </c>
      <c r="L34" s="70">
        <f t="shared" ref="L34:L65" si="9">(0.02453 *(H34^2.443356)*(I34^0.423602))</f>
        <v>169.9949713663205</v>
      </c>
      <c r="M34" s="70">
        <f t="shared" si="5"/>
        <v>240.43692239999999</v>
      </c>
      <c r="N34" s="68">
        <f t="shared" si="6"/>
        <v>309.5153797520847</v>
      </c>
      <c r="O34" s="69">
        <f t="shared" ref="O34:O65" si="10" xml:space="preserve"> 0.0509*J34*H34^2*I34</f>
        <v>287.42793117043118</v>
      </c>
      <c r="P34" s="69">
        <f t="shared" ref="P34:P65" si="11">((0.0559)*((J34*H34^2*I34)))</f>
        <v>315.66250201232032</v>
      </c>
      <c r="Q34" s="69">
        <f t="shared" ref="Q34:Q65" si="12">((0.0673)*((J34*H34^2*I34)^0.976))</f>
        <v>308.87501703996196</v>
      </c>
      <c r="R34" s="69">
        <f t="shared" si="7"/>
        <v>285.65886837975046</v>
      </c>
    </row>
    <row r="35" spans="1:18" x14ac:dyDescent="0.3">
      <c r="A35" s="58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19" t="s">
        <v>21</v>
      </c>
      <c r="H35" s="22">
        <v>12.9</v>
      </c>
      <c r="I35" s="22">
        <v>19.5</v>
      </c>
      <c r="J35" s="65">
        <v>0.5625</v>
      </c>
      <c r="K35" s="70">
        <f t="shared" si="8"/>
        <v>76.384904972719994</v>
      </c>
      <c r="L35" s="70">
        <f t="shared" si="9"/>
        <v>44.640065364320535</v>
      </c>
      <c r="M35" s="70">
        <f t="shared" si="5"/>
        <v>79.155163035000001</v>
      </c>
      <c r="N35" s="68">
        <f t="shared" si="6"/>
        <v>178.8939172985724</v>
      </c>
      <c r="O35" s="69">
        <f t="shared" si="10"/>
        <v>92.908263093750008</v>
      </c>
      <c r="P35" s="69">
        <f t="shared" si="11"/>
        <v>102.03481153125</v>
      </c>
      <c r="Q35" s="69">
        <f t="shared" si="12"/>
        <v>102.58398022914031</v>
      </c>
      <c r="R35" s="69">
        <f t="shared" si="7"/>
        <v>88.325014836220447</v>
      </c>
    </row>
    <row r="36" spans="1:18" x14ac:dyDescent="0.3">
      <c r="A36" s="58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19" t="s">
        <v>21</v>
      </c>
      <c r="H36" s="22">
        <v>22.2</v>
      </c>
      <c r="I36" s="22">
        <v>16.899999999999999</v>
      </c>
      <c r="J36" s="65">
        <v>0.59403669724770647</v>
      </c>
      <c r="K36" s="70">
        <f t="shared" si="8"/>
        <v>301.63977000787838</v>
      </c>
      <c r="L36" s="70">
        <f t="shared" si="9"/>
        <v>158.2896177382413</v>
      </c>
      <c r="M36" s="70">
        <f t="shared" si="5"/>
        <v>203.16919942799998</v>
      </c>
      <c r="N36" s="68">
        <f t="shared" si="6"/>
        <v>240.69284895941914</v>
      </c>
      <c r="O36" s="69">
        <f t="shared" si="10"/>
        <v>251.83942010917431</v>
      </c>
      <c r="P36" s="69">
        <f t="shared" si="11"/>
        <v>276.57806648532107</v>
      </c>
      <c r="Q36" s="69">
        <f t="shared" si="12"/>
        <v>271.49088315529576</v>
      </c>
      <c r="R36" s="69">
        <f t="shared" si="7"/>
        <v>280.49740886227426</v>
      </c>
    </row>
    <row r="37" spans="1:18" x14ac:dyDescent="0.3">
      <c r="A37" s="58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19" t="s">
        <v>21</v>
      </c>
      <c r="H37" s="22">
        <v>16.2</v>
      </c>
      <c r="I37" s="22">
        <v>12.8</v>
      </c>
      <c r="J37" s="65">
        <v>0.52463768115942033</v>
      </c>
      <c r="K37" s="70">
        <f t="shared" si="8"/>
        <v>135.92162636039748</v>
      </c>
      <c r="L37" s="70">
        <f t="shared" si="9"/>
        <v>65.161290026948265</v>
      </c>
      <c r="M37" s="70">
        <f t="shared" si="5"/>
        <v>81.941746176000009</v>
      </c>
      <c r="N37" s="68">
        <f t="shared" si="6"/>
        <v>118.1977344066806</v>
      </c>
      <c r="O37" s="69">
        <f t="shared" si="10"/>
        <v>89.705126066086962</v>
      </c>
      <c r="P37" s="69">
        <f t="shared" si="11"/>
        <v>98.517024500869582</v>
      </c>
      <c r="Q37" s="69">
        <f t="shared" si="12"/>
        <v>99.130695973273689</v>
      </c>
      <c r="R37" s="69">
        <f t="shared" si="7"/>
        <v>114.83186841183492</v>
      </c>
    </row>
    <row r="38" spans="1:18" x14ac:dyDescent="0.3">
      <c r="A38" s="58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19" t="s">
        <v>54</v>
      </c>
      <c r="H38" s="22">
        <v>13.3</v>
      </c>
      <c r="I38" s="22">
        <v>10.6</v>
      </c>
      <c r="J38" s="65">
        <v>0.68888888888888888</v>
      </c>
      <c r="K38" s="70">
        <f t="shared" si="8"/>
        <v>82.520191522792317</v>
      </c>
      <c r="L38" s="70">
        <f t="shared" si="9"/>
        <v>37.152565918888499</v>
      </c>
      <c r="M38" s="70">
        <f t="shared" si="5"/>
        <v>45.737704362000002</v>
      </c>
      <c r="N38" s="68">
        <f t="shared" si="6"/>
        <v>74.091144432374918</v>
      </c>
      <c r="O38" s="69">
        <f t="shared" si="10"/>
        <v>65.747025524444453</v>
      </c>
      <c r="P38" s="69">
        <f t="shared" si="11"/>
        <v>72.205475968888891</v>
      </c>
      <c r="Q38" s="69">
        <f t="shared" si="12"/>
        <v>73.199074766530771</v>
      </c>
      <c r="R38" s="69">
        <f t="shared" si="7"/>
        <v>95.249635998215126</v>
      </c>
    </row>
    <row r="39" spans="1:18" x14ac:dyDescent="0.3">
      <c r="A39" s="58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19" t="s">
        <v>54</v>
      </c>
      <c r="H39" s="22">
        <v>13</v>
      </c>
      <c r="I39" s="22">
        <v>10.3</v>
      </c>
      <c r="J39" s="65">
        <v>0.73076923076923073</v>
      </c>
      <c r="K39" s="70">
        <f t="shared" si="8"/>
        <v>77.891892706831428</v>
      </c>
      <c r="L39" s="70">
        <f t="shared" si="9"/>
        <v>34.713435417794351</v>
      </c>
      <c r="M39" s="70">
        <f t="shared" si="5"/>
        <v>42.460895100000002</v>
      </c>
      <c r="N39" s="68">
        <f t="shared" si="6"/>
        <v>69.475543922911626</v>
      </c>
      <c r="O39" s="69">
        <f t="shared" si="10"/>
        <v>64.747344999999996</v>
      </c>
      <c r="P39" s="69">
        <f t="shared" si="11"/>
        <v>71.107594999999989</v>
      </c>
      <c r="Q39" s="69">
        <f t="shared" si="12"/>
        <v>72.112598661352052</v>
      </c>
      <c r="R39" s="69">
        <f t="shared" si="7"/>
        <v>95.790438943571061</v>
      </c>
    </row>
    <row r="40" spans="1:18" x14ac:dyDescent="0.3">
      <c r="A40" s="58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19" t="s">
        <v>54</v>
      </c>
      <c r="H40" s="22">
        <v>13.4</v>
      </c>
      <c r="I40" s="22">
        <v>8.1999999999999993</v>
      </c>
      <c r="J40" s="65">
        <v>0.70329670329670335</v>
      </c>
      <c r="K40" s="70">
        <f t="shared" si="8"/>
        <v>84.098977486623539</v>
      </c>
      <c r="L40" s="70">
        <f t="shared" si="9"/>
        <v>33.939793484914127</v>
      </c>
      <c r="M40" s="70">
        <f t="shared" si="5"/>
        <v>35.916058055999997</v>
      </c>
      <c r="N40" s="68">
        <f t="shared" si="6"/>
        <v>50.85607443045744</v>
      </c>
      <c r="O40" s="69">
        <f t="shared" si="10"/>
        <v>52.708397573626378</v>
      </c>
      <c r="P40" s="69">
        <f t="shared" si="11"/>
        <v>57.886039771428564</v>
      </c>
      <c r="Q40" s="69">
        <f t="shared" si="12"/>
        <v>58.994728426745795</v>
      </c>
      <c r="R40" s="69">
        <f t="shared" si="7"/>
        <v>90.677969765650957</v>
      </c>
    </row>
    <row r="41" spans="1:18" x14ac:dyDescent="0.3">
      <c r="A41" s="58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19" t="s">
        <v>54</v>
      </c>
      <c r="H41" s="22">
        <v>15</v>
      </c>
      <c r="I41" s="22">
        <v>11.1</v>
      </c>
      <c r="J41" s="65">
        <v>0.6875</v>
      </c>
      <c r="K41" s="70">
        <f t="shared" si="8"/>
        <v>111.87330311452482</v>
      </c>
      <c r="L41" s="70">
        <f t="shared" si="9"/>
        <v>50.828592880773257</v>
      </c>
      <c r="M41" s="70">
        <f t="shared" si="5"/>
        <v>60.9215175</v>
      </c>
      <c r="N41" s="68">
        <f t="shared" si="6"/>
        <v>88.873591177433241</v>
      </c>
      <c r="O41" s="69">
        <f t="shared" si="10"/>
        <v>87.396890625000012</v>
      </c>
      <c r="P41" s="69">
        <f t="shared" si="11"/>
        <v>95.982046874999995</v>
      </c>
      <c r="Q41" s="69">
        <f t="shared" si="12"/>
        <v>96.640370624522191</v>
      </c>
      <c r="R41" s="69">
        <f t="shared" si="7"/>
        <v>124.43735494093484</v>
      </c>
    </row>
    <row r="42" spans="1:18" x14ac:dyDescent="0.3">
      <c r="A42" s="58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19" t="s">
        <v>21</v>
      </c>
      <c r="H42" s="22">
        <v>12.3</v>
      </c>
      <c r="I42" s="22">
        <v>10.199999999999999</v>
      </c>
      <c r="J42" s="65">
        <v>0.72023809523809523</v>
      </c>
      <c r="K42" s="70">
        <f t="shared" si="8"/>
        <v>67.713538232431915</v>
      </c>
      <c r="L42" s="70">
        <f t="shared" si="9"/>
        <v>30.19734714695657</v>
      </c>
      <c r="M42" s="70">
        <f t="shared" si="5"/>
        <v>37.642253094000004</v>
      </c>
      <c r="N42" s="68">
        <f t="shared" si="6"/>
        <v>64.998598185869355</v>
      </c>
      <c r="O42" s="69">
        <f t="shared" si="10"/>
        <v>56.572355989285718</v>
      </c>
      <c r="P42" s="69">
        <f t="shared" si="11"/>
        <v>62.129561882142852</v>
      </c>
      <c r="Q42" s="69">
        <f t="shared" si="12"/>
        <v>63.212107769748243</v>
      </c>
      <c r="R42" s="69">
        <f t="shared" si="7"/>
        <v>83.631770709542266</v>
      </c>
    </row>
    <row r="43" spans="1:18" x14ac:dyDescent="0.3">
      <c r="A43" s="58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19" t="s">
        <v>21</v>
      </c>
      <c r="H43" s="22">
        <v>14.5</v>
      </c>
      <c r="I43" s="22">
        <v>11.2</v>
      </c>
      <c r="J43" s="65">
        <v>0.73195876288659789</v>
      </c>
      <c r="K43" s="70">
        <f t="shared" si="8"/>
        <v>102.67781571633475</v>
      </c>
      <c r="L43" s="70">
        <f t="shared" si="9"/>
        <v>46.9660328480659</v>
      </c>
      <c r="M43" s="70">
        <f t="shared" si="5"/>
        <v>57.440636399999995</v>
      </c>
      <c r="N43" s="68">
        <f t="shared" si="6"/>
        <v>87.246067895806874</v>
      </c>
      <c r="O43" s="69">
        <f t="shared" si="10"/>
        <v>87.73207958762886</v>
      </c>
      <c r="P43" s="69">
        <f t="shared" si="11"/>
        <v>96.350162061855656</v>
      </c>
      <c r="Q43" s="69">
        <f t="shared" si="12"/>
        <v>97.002098660440055</v>
      </c>
      <c r="R43" s="69">
        <f t="shared" si="7"/>
        <v>124.31352956330909</v>
      </c>
    </row>
    <row r="44" spans="1:18" x14ac:dyDescent="0.3">
      <c r="A44" s="58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19" t="s">
        <v>21</v>
      </c>
      <c r="H44" s="22">
        <v>12.9</v>
      </c>
      <c r="I44" s="22">
        <v>17</v>
      </c>
      <c r="J44" s="65">
        <v>0.6785714285714286</v>
      </c>
      <c r="K44" s="70">
        <f t="shared" si="8"/>
        <v>76.384904972719994</v>
      </c>
      <c r="L44" s="70">
        <f t="shared" si="9"/>
        <v>42.119596727585318</v>
      </c>
      <c r="M44" s="70">
        <f t="shared" si="5"/>
        <v>69.007065209999993</v>
      </c>
      <c r="N44" s="68">
        <f t="shared" si="6"/>
        <v>145.75417804492005</v>
      </c>
      <c r="O44" s="69">
        <f t="shared" si="10"/>
        <v>97.710603107142873</v>
      </c>
      <c r="P44" s="69">
        <f t="shared" si="11"/>
        <v>107.30889417857144</v>
      </c>
      <c r="Q44" s="69">
        <f t="shared" si="12"/>
        <v>107.75603481641892</v>
      </c>
      <c r="R44" s="69">
        <f t="shared" si="7"/>
        <v>103.17418609997182</v>
      </c>
    </row>
    <row r="45" spans="1:18" x14ac:dyDescent="0.3">
      <c r="A45" s="58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19" t="s">
        <v>21</v>
      </c>
      <c r="H45" s="22">
        <v>17</v>
      </c>
      <c r="I45" s="22">
        <v>15.3</v>
      </c>
      <c r="J45" s="65">
        <v>0.70670391061452509</v>
      </c>
      <c r="K45" s="70">
        <f t="shared" si="8"/>
        <v>153.55053951044977</v>
      </c>
      <c r="L45" s="70">
        <f t="shared" si="9"/>
        <v>79.06057387607143</v>
      </c>
      <c r="M45" s="70">
        <f t="shared" si="5"/>
        <v>107.8585281</v>
      </c>
      <c r="N45" s="68">
        <f t="shared" si="6"/>
        <v>161.43154858344235</v>
      </c>
      <c r="O45" s="69">
        <f t="shared" si="10"/>
        <v>159.05398349162013</v>
      </c>
      <c r="P45" s="69">
        <f t="shared" si="11"/>
        <v>174.67814689944134</v>
      </c>
      <c r="Q45" s="69">
        <f t="shared" si="12"/>
        <v>173.36682268688386</v>
      </c>
      <c r="R45" s="69">
        <f t="shared" si="7"/>
        <v>186.17304126747507</v>
      </c>
    </row>
    <row r="46" spans="1:18" x14ac:dyDescent="0.3">
      <c r="A46" s="58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19" t="s">
        <v>21</v>
      </c>
      <c r="H46" s="22">
        <v>23.5</v>
      </c>
      <c r="I46" s="22">
        <v>16.600000000000001</v>
      </c>
      <c r="J46" s="65">
        <v>0.68503937007874016</v>
      </c>
      <c r="K46" s="70">
        <f t="shared" si="8"/>
        <v>348.35116489607253</v>
      </c>
      <c r="L46" s="70">
        <f t="shared" si="9"/>
        <v>180.52803799623268</v>
      </c>
      <c r="M46" s="70">
        <f t="shared" si="5"/>
        <v>223.61916855000001</v>
      </c>
      <c r="N46" s="68">
        <f t="shared" si="6"/>
        <v>247.22096916355756</v>
      </c>
      <c r="O46" s="69">
        <f t="shared" si="10"/>
        <v>319.65177956692924</v>
      </c>
      <c r="P46" s="69">
        <f t="shared" si="11"/>
        <v>351.05175791338587</v>
      </c>
      <c r="Q46" s="69">
        <f t="shared" si="12"/>
        <v>342.62842052046557</v>
      </c>
      <c r="R46" s="69">
        <f t="shared" si="7"/>
        <v>366.52302989704026</v>
      </c>
    </row>
    <row r="47" spans="1:18" x14ac:dyDescent="0.3">
      <c r="A47" s="58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19" t="s">
        <v>21</v>
      </c>
      <c r="H47" s="22">
        <v>20.2</v>
      </c>
      <c r="I47" s="22">
        <v>16.2</v>
      </c>
      <c r="J47" s="65">
        <v>0.69020501138952162</v>
      </c>
      <c r="K47" s="70">
        <f t="shared" si="8"/>
        <v>237.54972955356067</v>
      </c>
      <c r="L47" s="70">
        <f t="shared" si="9"/>
        <v>123.44929896716387</v>
      </c>
      <c r="M47" s="70">
        <f t="shared" si="5"/>
        <v>161.24377946399997</v>
      </c>
      <c r="N47" s="68">
        <f t="shared" si="6"/>
        <v>206.76636269391966</v>
      </c>
      <c r="O47" s="69">
        <f t="shared" si="10"/>
        <v>232.2274984728929</v>
      </c>
      <c r="P47" s="69">
        <f t="shared" si="11"/>
        <v>255.03962995353069</v>
      </c>
      <c r="Q47" s="69">
        <f t="shared" si="12"/>
        <v>250.83620713645789</v>
      </c>
      <c r="R47" s="69">
        <f t="shared" si="7"/>
        <v>266.28801370515157</v>
      </c>
    </row>
    <row r="48" spans="1:18" x14ac:dyDescent="0.3">
      <c r="A48" s="58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19" t="s">
        <v>57</v>
      </c>
      <c r="H48" s="22">
        <v>13.8</v>
      </c>
      <c r="I48" s="22">
        <v>12.1</v>
      </c>
      <c r="J48" s="65">
        <v>0.31835205992509363</v>
      </c>
      <c r="K48" s="70">
        <f t="shared" si="8"/>
        <v>90.596133738718223</v>
      </c>
      <c r="L48" s="70">
        <f t="shared" si="9"/>
        <v>43.002925492778104</v>
      </c>
      <c r="M48" s="70">
        <f t="shared" si="5"/>
        <v>56.209375332000008</v>
      </c>
      <c r="N48" s="68">
        <f t="shared" si="6"/>
        <v>93.468464691857704</v>
      </c>
      <c r="O48" s="69">
        <f t="shared" si="10"/>
        <v>37.339542269662928</v>
      </c>
      <c r="P48" s="69">
        <f t="shared" si="11"/>
        <v>41.007473730337082</v>
      </c>
      <c r="Q48" s="69">
        <f t="shared" si="12"/>
        <v>42.140088438094011</v>
      </c>
      <c r="R48" s="69">
        <f t="shared" si="7"/>
        <v>46.899601634965528</v>
      </c>
    </row>
    <row r="49" spans="1:18" x14ac:dyDescent="0.3">
      <c r="A49" s="58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19" t="s">
        <v>57</v>
      </c>
      <c r="H49" s="22">
        <v>17.2</v>
      </c>
      <c r="I49" s="22">
        <v>13.7</v>
      </c>
      <c r="J49" s="65">
        <v>0.31879194630872482</v>
      </c>
      <c r="K49" s="70">
        <f t="shared" si="8"/>
        <v>158.16214501221418</v>
      </c>
      <c r="L49" s="70">
        <f t="shared" si="9"/>
        <v>77.633738041434995</v>
      </c>
      <c r="M49" s="70">
        <f t="shared" si="5"/>
        <v>98.865024143999989</v>
      </c>
      <c r="N49" s="68">
        <f t="shared" si="6"/>
        <v>138.39907622445651</v>
      </c>
      <c r="O49" s="69">
        <f t="shared" si="10"/>
        <v>65.766175114093954</v>
      </c>
      <c r="P49" s="69">
        <f t="shared" si="11"/>
        <v>72.226506657718105</v>
      </c>
      <c r="Q49" s="69">
        <f t="shared" si="12"/>
        <v>73.219883097835918</v>
      </c>
      <c r="R49" s="69">
        <f t="shared" si="7"/>
        <v>77.978185173516053</v>
      </c>
    </row>
    <row r="50" spans="1:18" x14ac:dyDescent="0.3">
      <c r="A50" s="58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19" t="s">
        <v>57</v>
      </c>
      <c r="H50" s="22">
        <v>10.9</v>
      </c>
      <c r="I50" s="22">
        <v>9.6999999999999993</v>
      </c>
      <c r="J50" s="65">
        <v>0.37037037037037035</v>
      </c>
      <c r="K50" s="70">
        <f t="shared" si="8"/>
        <v>49.877492892342957</v>
      </c>
      <c r="L50" s="70">
        <f t="shared" si="9"/>
        <v>22.003830290027128</v>
      </c>
      <c r="M50" s="70">
        <f t="shared" si="5"/>
        <v>28.111883600999999</v>
      </c>
      <c r="N50" s="68">
        <f t="shared" si="6"/>
        <v>53.823031034736417</v>
      </c>
      <c r="O50" s="69">
        <f t="shared" si="10"/>
        <v>21.725948629629631</v>
      </c>
      <c r="P50" s="69">
        <f t="shared" si="11"/>
        <v>23.860128259259252</v>
      </c>
      <c r="Q50" s="69">
        <f t="shared" si="12"/>
        <v>24.839895647112268</v>
      </c>
      <c r="R50" s="69">
        <f t="shared" si="7"/>
        <v>31.127140603422081</v>
      </c>
    </row>
    <row r="51" spans="1:18" x14ac:dyDescent="0.3">
      <c r="A51" s="58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19" t="s">
        <v>57</v>
      </c>
      <c r="H51" s="22">
        <v>19.899999999999999</v>
      </c>
      <c r="I51" s="22">
        <v>14.3</v>
      </c>
      <c r="J51" s="65">
        <v>0.3423180592991914</v>
      </c>
      <c r="K51" s="70">
        <f t="shared" si="8"/>
        <v>228.72511727018087</v>
      </c>
      <c r="L51" s="70">
        <f t="shared" si="9"/>
        <v>112.89134874571656</v>
      </c>
      <c r="M51" s="70">
        <f t="shared" si="5"/>
        <v>138.136168599</v>
      </c>
      <c r="N51" s="68">
        <f t="shared" si="6"/>
        <v>169.22672440316123</v>
      </c>
      <c r="O51" s="69">
        <f t="shared" si="10"/>
        <v>98.67105777601077</v>
      </c>
      <c r="P51" s="69">
        <f t="shared" si="11"/>
        <v>108.36369606442048</v>
      </c>
      <c r="Q51" s="69">
        <f t="shared" si="12"/>
        <v>108.78968964689754</v>
      </c>
      <c r="R51" s="69">
        <f t="shared" si="7"/>
        <v>116.2039395827758</v>
      </c>
    </row>
    <row r="52" spans="1:18" x14ac:dyDescent="0.3">
      <c r="A52" s="58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19" t="s">
        <v>57</v>
      </c>
      <c r="H52" s="22">
        <v>21.1</v>
      </c>
      <c r="I52" s="22">
        <v>9.6999999999999993</v>
      </c>
      <c r="J52" s="65">
        <v>0.38653366583541149</v>
      </c>
      <c r="K52" s="70">
        <f t="shared" si="8"/>
        <v>265.24682097801775</v>
      </c>
      <c r="L52" s="70">
        <f t="shared" si="9"/>
        <v>110.50692931688381</v>
      </c>
      <c r="M52" s="70">
        <f t="shared" si="5"/>
        <v>105.34207304100001</v>
      </c>
      <c r="N52" s="68">
        <f t="shared" si="6"/>
        <v>100.15540479617648</v>
      </c>
      <c r="O52" s="69">
        <f t="shared" si="10"/>
        <v>84.965330826683285</v>
      </c>
      <c r="P52" s="69">
        <f t="shared" si="11"/>
        <v>93.311630514962602</v>
      </c>
      <c r="Q52" s="69">
        <f t="shared" si="12"/>
        <v>94.015283361740316</v>
      </c>
      <c r="R52" s="69">
        <f t="shared" si="7"/>
        <v>131.33631326442898</v>
      </c>
    </row>
    <row r="53" spans="1:18" x14ac:dyDescent="0.3">
      <c r="A53" s="58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19" t="s">
        <v>57</v>
      </c>
      <c r="H53" s="22">
        <v>17.7</v>
      </c>
      <c r="I53" s="22">
        <v>9</v>
      </c>
      <c r="J53" s="65">
        <v>0.39117647058823529</v>
      </c>
      <c r="K53" s="70">
        <f t="shared" si="8"/>
        <v>170.05442589514973</v>
      </c>
      <c r="L53" s="70">
        <f t="shared" si="9"/>
        <v>69.688248904067009</v>
      </c>
      <c r="M53" s="70">
        <f t="shared" si="5"/>
        <v>68.778746729999995</v>
      </c>
      <c r="N53" s="68">
        <f t="shared" si="6"/>
        <v>75.919625503958201</v>
      </c>
      <c r="O53" s="69">
        <f t="shared" si="10"/>
        <v>56.140922991176467</v>
      </c>
      <c r="P53" s="69">
        <f t="shared" si="11"/>
        <v>61.655748432352929</v>
      </c>
      <c r="Q53" s="69">
        <f t="shared" si="12"/>
        <v>62.741565081542355</v>
      </c>
      <c r="R53" s="69">
        <f t="shared" si="7"/>
        <v>89.515279084309725</v>
      </c>
    </row>
    <row r="54" spans="1:18" x14ac:dyDescent="0.3">
      <c r="A54" s="58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19" t="s">
        <v>60</v>
      </c>
      <c r="H54" s="22">
        <v>10.8</v>
      </c>
      <c r="I54" s="22">
        <v>6.5</v>
      </c>
      <c r="J54" s="65">
        <v>0.59210526315789469</v>
      </c>
      <c r="K54" s="70">
        <f t="shared" si="8"/>
        <v>48.72789795466781</v>
      </c>
      <c r="L54" s="70">
        <f t="shared" si="9"/>
        <v>18.158141890477101</v>
      </c>
      <c r="M54" s="70">
        <f t="shared" si="5"/>
        <v>18.493796880000001</v>
      </c>
      <c r="N54" s="68">
        <f t="shared" si="6"/>
        <v>29.349172169772711</v>
      </c>
      <c r="O54" s="69">
        <f t="shared" si="10"/>
        <v>22.849545789473684</v>
      </c>
      <c r="P54" s="69">
        <f t="shared" si="11"/>
        <v>25.094098421052635</v>
      </c>
      <c r="Q54" s="69">
        <f t="shared" si="12"/>
        <v>26.092940166729182</v>
      </c>
      <c r="R54" s="69">
        <f t="shared" si="7"/>
        <v>44.160502331098371</v>
      </c>
    </row>
    <row r="55" spans="1:18" x14ac:dyDescent="0.3">
      <c r="A55" s="58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19" t="s">
        <v>60</v>
      </c>
      <c r="H55" s="29">
        <f>SQRT(19.2^2+19.6^2)</f>
        <v>27.437201023428027</v>
      </c>
      <c r="I55" s="22">
        <v>9.1</v>
      </c>
      <c r="J55" s="65">
        <v>0.59826589595375723</v>
      </c>
      <c r="K55" s="70">
        <f t="shared" si="8"/>
        <v>515.48411032134572</v>
      </c>
      <c r="L55" s="70">
        <f t="shared" si="9"/>
        <v>204.32692217667994</v>
      </c>
      <c r="M55" s="70">
        <f t="shared" si="5"/>
        <v>167.10375864</v>
      </c>
      <c r="N55" s="68">
        <f t="shared" si="6"/>
        <v>116.54812705121343</v>
      </c>
      <c r="O55" s="69">
        <f t="shared" si="10"/>
        <v>208.60899544508669</v>
      </c>
      <c r="P55" s="69">
        <f t="shared" si="11"/>
        <v>229.10103821965313</v>
      </c>
      <c r="Q55" s="69">
        <f t="shared" si="12"/>
        <v>225.90588651477634</v>
      </c>
      <c r="R55" s="69">
        <f t="shared" si="7"/>
        <v>358.04026274085197</v>
      </c>
    </row>
    <row r="56" spans="1:18" x14ac:dyDescent="0.3">
      <c r="A56" s="58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19" t="s">
        <v>60</v>
      </c>
      <c r="H56" s="22">
        <v>24.3</v>
      </c>
      <c r="I56" s="22">
        <v>10.1</v>
      </c>
      <c r="J56" s="65">
        <v>0.57894736842105265</v>
      </c>
      <c r="K56" s="70">
        <f t="shared" si="8"/>
        <v>379.13986213078118</v>
      </c>
      <c r="L56" s="70">
        <f t="shared" si="9"/>
        <v>158.73017425291636</v>
      </c>
      <c r="M56" s="70">
        <f t="shared" si="5"/>
        <v>145.47860795700001</v>
      </c>
      <c r="N56" s="68">
        <f t="shared" si="6"/>
        <v>121.48913357677657</v>
      </c>
      <c r="O56" s="69">
        <f t="shared" si="10"/>
        <v>175.74816026842109</v>
      </c>
      <c r="P56" s="69">
        <f t="shared" si="11"/>
        <v>193.0122231631579</v>
      </c>
      <c r="Q56" s="69">
        <f t="shared" si="12"/>
        <v>191.10494163438921</v>
      </c>
      <c r="R56" s="69">
        <f t="shared" si="7"/>
        <v>277.14464986903852</v>
      </c>
    </row>
    <row r="57" spans="1:18" x14ac:dyDescent="0.3">
      <c r="A57" s="58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19" t="s">
        <v>60</v>
      </c>
      <c r="H57" s="22">
        <v>16.2</v>
      </c>
      <c r="I57" s="22">
        <v>7.2</v>
      </c>
      <c r="J57" s="65">
        <v>0.56907894736842102</v>
      </c>
      <c r="K57" s="70">
        <f t="shared" si="8"/>
        <v>135.92162636039748</v>
      </c>
      <c r="L57" s="70">
        <f t="shared" si="9"/>
        <v>51.067085937229116</v>
      </c>
      <c r="M57" s="70">
        <f t="shared" si="5"/>
        <v>46.092232224</v>
      </c>
      <c r="N57" s="68">
        <f t="shared" si="6"/>
        <v>50.059561221684163</v>
      </c>
      <c r="O57" s="69">
        <f t="shared" si="10"/>
        <v>54.73345045263158</v>
      </c>
      <c r="P57" s="69">
        <f t="shared" si="11"/>
        <v>60.110017294736842</v>
      </c>
      <c r="Q57" s="69">
        <f t="shared" si="12"/>
        <v>61.205897152228495</v>
      </c>
      <c r="R57" s="69">
        <f t="shared" si="7"/>
        <v>103.07093936171739</v>
      </c>
    </row>
    <row r="58" spans="1:18" x14ac:dyDescent="0.3">
      <c r="A58" s="58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19" t="s">
        <v>60</v>
      </c>
      <c r="H58" s="29">
        <f>SQRT(6.7^2+13^2)</f>
        <v>14.624978632463023</v>
      </c>
      <c r="I58" s="22">
        <v>7.9</v>
      </c>
      <c r="J58" s="65">
        <v>0.6045454545454545</v>
      </c>
      <c r="K58" s="70">
        <f t="shared" si="8"/>
        <v>104.93165759382907</v>
      </c>
      <c r="L58" s="70">
        <f t="shared" si="9"/>
        <v>41.369152616944206</v>
      </c>
      <c r="M58" s="70">
        <f t="shared" si="5"/>
        <v>41.217608283000004</v>
      </c>
      <c r="N58" s="68">
        <f t="shared" si="6"/>
        <v>52.226583023889077</v>
      </c>
      <c r="O58" s="69">
        <f t="shared" si="10"/>
        <v>51.995327048636362</v>
      </c>
      <c r="P58" s="69">
        <f t="shared" si="11"/>
        <v>57.102923025909085</v>
      </c>
      <c r="Q58" s="69">
        <f t="shared" si="12"/>
        <v>58.215640413163335</v>
      </c>
      <c r="R58" s="69">
        <f t="shared" si="7"/>
        <v>91.493208785298734</v>
      </c>
    </row>
    <row r="59" spans="1:18" x14ac:dyDescent="0.3">
      <c r="A59" s="58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19" t="s">
        <v>21</v>
      </c>
      <c r="H59" s="22">
        <v>10.6</v>
      </c>
      <c r="I59" s="22">
        <v>9.8000000000000007</v>
      </c>
      <c r="J59" s="65">
        <v>0.6863636363636364</v>
      </c>
      <c r="K59" s="70">
        <f t="shared" si="8"/>
        <v>46.47714204591221</v>
      </c>
      <c r="L59" s="70">
        <f t="shared" si="9"/>
        <v>20.642872684543146</v>
      </c>
      <c r="M59" s="70">
        <f t="shared" si="5"/>
        <v>26.859815304000005</v>
      </c>
      <c r="N59" s="68">
        <f t="shared" si="6"/>
        <v>53.238212471285358</v>
      </c>
      <c r="O59" s="69">
        <f t="shared" si="10"/>
        <v>38.468907705454548</v>
      </c>
      <c r="P59" s="69">
        <f t="shared" si="11"/>
        <v>42.247778796363647</v>
      </c>
      <c r="Q59" s="69">
        <f t="shared" si="12"/>
        <v>43.383613980599669</v>
      </c>
      <c r="R59" s="69">
        <f t="shared" si="7"/>
        <v>57.230413997377696</v>
      </c>
    </row>
    <row r="60" spans="1:18" x14ac:dyDescent="0.3">
      <c r="A60" s="58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19" t="s">
        <v>21</v>
      </c>
      <c r="H60" s="22">
        <v>31.8</v>
      </c>
      <c r="I60" s="22">
        <v>12.6</v>
      </c>
      <c r="J60" s="65">
        <v>0.62278481012658227</v>
      </c>
      <c r="K60" s="70">
        <f t="shared" si="8"/>
        <v>748.78336783576844</v>
      </c>
      <c r="L60" s="70">
        <f t="shared" si="9"/>
        <v>336.34194402604152</v>
      </c>
      <c r="M60" s="70">
        <f t="shared" si="5"/>
        <v>310.80643423200002</v>
      </c>
      <c r="N60" s="68">
        <f t="shared" si="6"/>
        <v>217.66906133001171</v>
      </c>
      <c r="O60" s="69">
        <f t="shared" si="10"/>
        <v>403.90625507240503</v>
      </c>
      <c r="P60" s="69">
        <f t="shared" si="11"/>
        <v>443.58270449012656</v>
      </c>
      <c r="Q60" s="69">
        <f t="shared" si="12"/>
        <v>430.51506535806618</v>
      </c>
      <c r="R60" s="69">
        <f t="shared" si="7"/>
        <v>570.15763977128756</v>
      </c>
    </row>
    <row r="61" spans="1:18" x14ac:dyDescent="0.3">
      <c r="A61" s="58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19" t="s">
        <v>21</v>
      </c>
      <c r="H61" s="22">
        <v>30.5</v>
      </c>
      <c r="I61" s="22">
        <v>13.2</v>
      </c>
      <c r="J61" s="65">
        <v>0.72512647554806076</v>
      </c>
      <c r="K61" s="70">
        <f t="shared" si="8"/>
        <v>673.74284974385387</v>
      </c>
      <c r="L61" s="70">
        <f t="shared" si="9"/>
        <v>309.77604084621089</v>
      </c>
      <c r="M61" s="70">
        <f t="shared" si="5"/>
        <v>299.52896490000001</v>
      </c>
      <c r="N61" s="68">
        <f t="shared" si="6"/>
        <v>224.34751919658433</v>
      </c>
      <c r="O61" s="69">
        <f t="shared" si="10"/>
        <v>453.21591753794269</v>
      </c>
      <c r="P61" s="69">
        <f t="shared" si="11"/>
        <v>497.73614519392913</v>
      </c>
      <c r="Q61" s="69">
        <f t="shared" si="12"/>
        <v>481.73959080859117</v>
      </c>
      <c r="R61" s="69">
        <f t="shared" si="7"/>
        <v>624.85481485633954</v>
      </c>
    </row>
    <row r="62" spans="1:18" x14ac:dyDescent="0.3">
      <c r="A62" s="58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19" t="s">
        <v>21</v>
      </c>
      <c r="H62" s="22">
        <v>10.199999999999999</v>
      </c>
      <c r="I62" s="22">
        <v>9.1999999999999993</v>
      </c>
      <c r="J62" s="65">
        <v>0.67123287671232879</v>
      </c>
      <c r="K62" s="70">
        <f t="shared" si="8"/>
        <v>42.16712682704506</v>
      </c>
      <c r="L62" s="70">
        <f t="shared" si="9"/>
        <v>18.294868016086973</v>
      </c>
      <c r="M62" s="70">
        <f t="shared" si="5"/>
        <v>23.348199023999999</v>
      </c>
      <c r="N62" s="68">
        <f t="shared" si="6"/>
        <v>46.724555049537784</v>
      </c>
      <c r="O62" s="69">
        <f t="shared" si="10"/>
        <v>32.702365873972603</v>
      </c>
      <c r="P62" s="69">
        <f t="shared" si="11"/>
        <v>35.914779024657527</v>
      </c>
      <c r="Q62" s="69">
        <f t="shared" si="12"/>
        <v>37.024378886917354</v>
      </c>
      <c r="R62" s="69">
        <f t="shared" si="7"/>
        <v>50.422268728165783</v>
      </c>
    </row>
    <row r="63" spans="1:18" x14ac:dyDescent="0.3">
      <c r="A63" s="58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19" t="s">
        <v>21</v>
      </c>
      <c r="H63" s="29">
        <f>SQRT(16.2^2+14.1^2+11.9^2)</f>
        <v>24.553207529770933</v>
      </c>
      <c r="I63" s="22">
        <v>12.1</v>
      </c>
      <c r="J63" s="65">
        <v>0.69767441860465118</v>
      </c>
      <c r="K63" s="70">
        <f t="shared" si="8"/>
        <v>389.21485654286295</v>
      </c>
      <c r="L63" s="70">
        <f t="shared" si="9"/>
        <v>175.75063074369351</v>
      </c>
      <c r="M63" s="70">
        <f t="shared" si="5"/>
        <v>177.937324158</v>
      </c>
      <c r="N63" s="68">
        <f t="shared" si="6"/>
        <v>160.66980897900768</v>
      </c>
      <c r="O63" s="69">
        <f t="shared" si="10"/>
        <v>259.04333400000002</v>
      </c>
      <c r="P63" s="69">
        <f t="shared" si="11"/>
        <v>284.48963400000002</v>
      </c>
      <c r="Q63" s="69">
        <f t="shared" si="12"/>
        <v>279.06796892180103</v>
      </c>
      <c r="R63" s="69">
        <f t="shared" si="7"/>
        <v>368.24356530795887</v>
      </c>
    </row>
    <row r="64" spans="1:18" x14ac:dyDescent="0.3">
      <c r="A64" s="58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19" t="s">
        <v>63</v>
      </c>
      <c r="H64" s="22">
        <v>10.7</v>
      </c>
      <c r="I64" s="22">
        <v>5.3</v>
      </c>
      <c r="J64" s="65">
        <v>0.21111111111111111</v>
      </c>
      <c r="K64" s="70">
        <f t="shared" si="8"/>
        <v>47.594474183359388</v>
      </c>
      <c r="L64" s="70">
        <f t="shared" si="9"/>
        <v>16.279958168493696</v>
      </c>
      <c r="M64" s="70">
        <f t="shared" si="5"/>
        <v>14.801599220999998</v>
      </c>
      <c r="N64" s="68">
        <f t="shared" si="6"/>
        <v>21.450731875164582</v>
      </c>
      <c r="O64" s="69">
        <f t="shared" si="10"/>
        <v>6.5203708744444429</v>
      </c>
      <c r="P64" s="69">
        <f t="shared" si="11"/>
        <v>7.1608788188888877</v>
      </c>
      <c r="Q64" s="69">
        <f t="shared" si="12"/>
        <v>7.6734076781414435</v>
      </c>
      <c r="R64" s="69">
        <f t="shared" si="7"/>
        <v>13.304474125928181</v>
      </c>
    </row>
    <row r="65" spans="1:18" x14ac:dyDescent="0.3">
      <c r="A65" s="58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19" t="s">
        <v>63</v>
      </c>
      <c r="H65" s="22">
        <v>11.1</v>
      </c>
      <c r="I65" s="22">
        <v>6.6</v>
      </c>
      <c r="J65" s="65">
        <v>0.26605504587155965</v>
      </c>
      <c r="K65" s="70">
        <f t="shared" si="8"/>
        <v>52.225512674589233</v>
      </c>
      <c r="L65" s="70">
        <f t="shared" si="9"/>
        <v>19.541332326060864</v>
      </c>
      <c r="M65" s="70">
        <f t="shared" si="5"/>
        <v>19.836046098000001</v>
      </c>
      <c r="N65" s="68">
        <f t="shared" si="6"/>
        <v>30.809496266830092</v>
      </c>
      <c r="O65" s="69">
        <f t="shared" si="10"/>
        <v>11.012328941284403</v>
      </c>
      <c r="P65" s="69">
        <f t="shared" si="11"/>
        <v>12.094090133944954</v>
      </c>
      <c r="Q65" s="69">
        <f t="shared" si="12"/>
        <v>12.797719405074604</v>
      </c>
      <c r="R65" s="69">
        <f t="shared" si="7"/>
        <v>19.870849309509811</v>
      </c>
    </row>
    <row r="66" spans="1:18" x14ac:dyDescent="0.3">
      <c r="A66" s="58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19" t="s">
        <v>63</v>
      </c>
      <c r="H66" s="22">
        <v>10.4</v>
      </c>
      <c r="I66" s="22">
        <v>7.3</v>
      </c>
      <c r="J66" s="65">
        <v>0.19277108433734941</v>
      </c>
      <c r="K66" s="70">
        <f t="shared" ref="K66:K97" si="13" xml:space="preserve"> EXP(-2.134 + 2.53*LN(H66))</f>
        <v>44.290432787059352</v>
      </c>
      <c r="L66" s="70">
        <f t="shared" ref="L66:L97" si="14">(0.02453 *(H66^2.443356)*(I66^0.423602))</f>
        <v>17.393114268455061</v>
      </c>
      <c r="M66" s="70">
        <f t="shared" si="5"/>
        <v>19.259932224000003</v>
      </c>
      <c r="N66" s="68">
        <f t="shared" si="6"/>
        <v>33.68665092677378</v>
      </c>
      <c r="O66" s="69">
        <f t="shared" ref="O66:O97" si="15" xml:space="preserve"> 0.0509*J66*H66^2*I66</f>
        <v>7.7472792674698807</v>
      </c>
      <c r="P66" s="69">
        <f t="shared" ref="P66:P97" si="16">((0.0559)*((J66*H66^2*I66)))</f>
        <v>8.5083086650602429</v>
      </c>
      <c r="Q66" s="69">
        <f t="shared" ref="Q66:Q97" si="17">((0.0673)*((J66*H66^2*I66)^0.976))</f>
        <v>9.079629744672193</v>
      </c>
      <c r="R66" s="69">
        <f t="shared" si="7"/>
        <v>12.667938179325953</v>
      </c>
    </row>
    <row r="67" spans="1:18" x14ac:dyDescent="0.3">
      <c r="A67" s="58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19" t="s">
        <v>63</v>
      </c>
      <c r="H67" s="22">
        <v>16.2</v>
      </c>
      <c r="I67" s="22">
        <v>7.5</v>
      </c>
      <c r="J67" s="65">
        <v>0.22222222222222221</v>
      </c>
      <c r="K67" s="70">
        <f t="shared" si="13"/>
        <v>135.92162636039748</v>
      </c>
      <c r="L67" s="70">
        <f t="shared" si="14"/>
        <v>51.957831525000344</v>
      </c>
      <c r="M67" s="70">
        <f t="shared" ref="M67:M130" si="18">0.024393*((H67^2)*I67)</f>
        <v>48.012741900000002</v>
      </c>
      <c r="N67" s="68">
        <f t="shared" ref="N67:N130" si="19">10^(-0.717903255+0.940214879*LOG(H67)+1.345432588*LOG(I67)*1.109844005)</f>
        <v>53.205924423500988</v>
      </c>
      <c r="O67" s="69">
        <f t="shared" si="15"/>
        <v>22.263659999999998</v>
      </c>
      <c r="P67" s="69">
        <f t="shared" si="16"/>
        <v>24.450659999999999</v>
      </c>
      <c r="Q67" s="69">
        <f t="shared" si="17"/>
        <v>25.439744910365835</v>
      </c>
      <c r="R67" s="69">
        <f t="shared" ref="R67:R130" si="20">EXP(-1.305+1.055*LN(H67^2)+0.34*LN(I67)+1.077*LN(J67))</f>
        <v>37.960623233819227</v>
      </c>
    </row>
    <row r="68" spans="1:18" x14ac:dyDescent="0.3">
      <c r="A68" s="58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19" t="s">
        <v>63</v>
      </c>
      <c r="H68" s="29">
        <f>SQRT(11.6^2+8.4^2)</f>
        <v>14.322011031974526</v>
      </c>
      <c r="I68" s="22">
        <v>6.4</v>
      </c>
      <c r="J68" s="65">
        <v>0.27160493827160492</v>
      </c>
      <c r="K68" s="70">
        <f t="shared" si="13"/>
        <v>99.518931736208486</v>
      </c>
      <c r="L68" s="70">
        <f t="shared" si="14"/>
        <v>35.952269993885672</v>
      </c>
      <c r="M68" s="70">
        <f t="shared" si="18"/>
        <v>32.02234982400001</v>
      </c>
      <c r="N68" s="68">
        <f t="shared" si="19"/>
        <v>37.393249368249954</v>
      </c>
      <c r="O68" s="69">
        <f t="shared" si="15"/>
        <v>18.148612424691361</v>
      </c>
      <c r="P68" s="69">
        <f t="shared" si="16"/>
        <v>19.93138378271605</v>
      </c>
      <c r="Q68" s="69">
        <f t="shared" si="17"/>
        <v>20.839615056669487</v>
      </c>
      <c r="R68" s="69">
        <f t="shared" si="20"/>
        <v>34.424385969569443</v>
      </c>
    </row>
    <row r="69" spans="1:18" x14ac:dyDescent="0.3">
      <c r="A69" s="58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19" t="s">
        <v>63</v>
      </c>
      <c r="H69" s="22">
        <v>12</v>
      </c>
      <c r="I69" s="22">
        <v>7.4</v>
      </c>
      <c r="J69" s="65">
        <v>0.21551724137931033</v>
      </c>
      <c r="K69" s="70">
        <f t="shared" si="13"/>
        <v>63.612743766664323</v>
      </c>
      <c r="L69" s="70">
        <f t="shared" si="14"/>
        <v>24.81588773521349</v>
      </c>
      <c r="M69" s="70">
        <f t="shared" si="18"/>
        <v>25.993180800000005</v>
      </c>
      <c r="N69" s="68">
        <f t="shared" si="19"/>
        <v>39.329049626841126</v>
      </c>
      <c r="O69" s="69">
        <f t="shared" si="15"/>
        <v>11.689448275862068</v>
      </c>
      <c r="P69" s="69">
        <f t="shared" si="16"/>
        <v>12.837724137931033</v>
      </c>
      <c r="Q69" s="69">
        <f t="shared" si="17"/>
        <v>13.565177033906943</v>
      </c>
      <c r="R69" s="69">
        <f t="shared" si="20"/>
        <v>19.409620761511146</v>
      </c>
    </row>
    <row r="70" spans="1:18" x14ac:dyDescent="0.3">
      <c r="A70" s="58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19" t="s">
        <v>65</v>
      </c>
      <c r="H70" s="22">
        <v>10.5</v>
      </c>
      <c r="I70" s="22">
        <v>4</v>
      </c>
      <c r="J70" s="65">
        <v>0.50270270270270268</v>
      </c>
      <c r="K70" s="70">
        <f t="shared" si="13"/>
        <v>45.375821659690011</v>
      </c>
      <c r="L70" s="70">
        <f t="shared" si="14"/>
        <v>13.799405149001611</v>
      </c>
      <c r="M70" s="70">
        <f t="shared" si="18"/>
        <v>10.757313</v>
      </c>
      <c r="N70" s="68">
        <f t="shared" si="19"/>
        <v>13.843385541505667</v>
      </c>
      <c r="O70" s="69">
        <f t="shared" si="15"/>
        <v>11.284117297297298</v>
      </c>
      <c r="P70" s="69">
        <f t="shared" si="16"/>
        <v>12.392576756756757</v>
      </c>
      <c r="Q70" s="69">
        <f t="shared" si="17"/>
        <v>13.105900860411417</v>
      </c>
      <c r="R70" s="69">
        <f t="shared" si="20"/>
        <v>29.577924995251017</v>
      </c>
    </row>
    <row r="71" spans="1:18" x14ac:dyDescent="0.3">
      <c r="A71" s="58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19" t="s">
        <v>65</v>
      </c>
      <c r="H71" s="29">
        <f>SQRT(8.4^2+10.4^2+11.3^2)</f>
        <v>17.504570831642802</v>
      </c>
      <c r="I71" s="22">
        <v>6.8</v>
      </c>
      <c r="J71" s="65">
        <v>0.53237410071942448</v>
      </c>
      <c r="K71" s="70">
        <f t="shared" si="13"/>
        <v>165.34413260980006</v>
      </c>
      <c r="L71" s="70">
        <f t="shared" si="14"/>
        <v>60.229822802077976</v>
      </c>
      <c r="M71" s="70">
        <f t="shared" si="18"/>
        <v>50.824962083999999</v>
      </c>
      <c r="N71" s="68">
        <f t="shared" si="19"/>
        <v>49.436242415326468</v>
      </c>
      <c r="O71" s="69">
        <f t="shared" si="15"/>
        <v>56.460737847482008</v>
      </c>
      <c r="P71" s="69">
        <f t="shared" si="16"/>
        <v>62.006979286330932</v>
      </c>
      <c r="Q71" s="69">
        <f t="shared" si="17"/>
        <v>63.090379653480802</v>
      </c>
      <c r="R71" s="69">
        <f t="shared" si="20"/>
        <v>110.78576219853635</v>
      </c>
    </row>
    <row r="72" spans="1:18" x14ac:dyDescent="0.3">
      <c r="A72" s="58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19" t="s">
        <v>65</v>
      </c>
      <c r="H72" s="29">
        <f>SQRT(7.3^2+11.2^2)</f>
        <v>13.36899397860587</v>
      </c>
      <c r="I72" s="22">
        <v>7.5</v>
      </c>
      <c r="J72" s="65">
        <v>0.51583710407239824</v>
      </c>
      <c r="K72" s="70">
        <f t="shared" si="13"/>
        <v>83.607522935675775</v>
      </c>
      <c r="L72" s="70">
        <f t="shared" si="14"/>
        <v>32.496406025585827</v>
      </c>
      <c r="M72" s="70">
        <f t="shared" si="18"/>
        <v>32.698206675000002</v>
      </c>
      <c r="N72" s="68">
        <f t="shared" si="19"/>
        <v>44.415111751629418</v>
      </c>
      <c r="O72" s="69">
        <f t="shared" si="15"/>
        <v>35.195657171945705</v>
      </c>
      <c r="P72" s="69">
        <f t="shared" si="16"/>
        <v>38.652990882352938</v>
      </c>
      <c r="Q72" s="69">
        <f t="shared" si="17"/>
        <v>39.776983897408016</v>
      </c>
      <c r="R72" s="69">
        <f t="shared" si="20"/>
        <v>62.691822053851233</v>
      </c>
    </row>
    <row r="73" spans="1:18" x14ac:dyDescent="0.3">
      <c r="A73" s="58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19" t="s">
        <v>65</v>
      </c>
      <c r="H73" s="29">
        <f>SQRT(5.7^2+6.5^2+4.7^2+6.7^2+10.1^2)</f>
        <v>15.611854470241516</v>
      </c>
      <c r="I73" s="22">
        <v>8</v>
      </c>
      <c r="J73" s="65">
        <v>0.52551020408163263</v>
      </c>
      <c r="K73" s="70">
        <f t="shared" si="13"/>
        <v>123.78141587232679</v>
      </c>
      <c r="L73" s="70">
        <f t="shared" si="14"/>
        <v>48.784568961924123</v>
      </c>
      <c r="M73" s="70">
        <f t="shared" si="18"/>
        <v>47.562447120000009</v>
      </c>
      <c r="N73" s="68">
        <f t="shared" si="19"/>
        <v>56.586484262219059</v>
      </c>
      <c r="O73" s="69">
        <f t="shared" si="15"/>
        <v>52.155235551020411</v>
      </c>
      <c r="P73" s="69">
        <f t="shared" si="16"/>
        <v>57.278539632653064</v>
      </c>
      <c r="Q73" s="69">
        <f t="shared" si="17"/>
        <v>58.390375744348631</v>
      </c>
      <c r="R73" s="69">
        <f t="shared" si="20"/>
        <v>90.68828346411658</v>
      </c>
    </row>
    <row r="74" spans="1:18" x14ac:dyDescent="0.3">
      <c r="A74" s="58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19" t="s">
        <v>65</v>
      </c>
      <c r="H74" s="29">
        <f>SQRT(8.5^2+6.1^2+6.5^2+6^2+12.1^2)</f>
        <v>18.278949641595929</v>
      </c>
      <c r="I74" s="22">
        <v>6.4</v>
      </c>
      <c r="J74" s="65">
        <v>0.51256281407035176</v>
      </c>
      <c r="K74" s="70">
        <f t="shared" si="13"/>
        <v>184.48123767811001</v>
      </c>
      <c r="L74" s="70">
        <f t="shared" si="14"/>
        <v>65.251894092452588</v>
      </c>
      <c r="M74" s="70">
        <f t="shared" si="18"/>
        <v>52.161210623999999</v>
      </c>
      <c r="N74" s="68">
        <f t="shared" si="19"/>
        <v>47.033399510648863</v>
      </c>
      <c r="O74" s="69">
        <f t="shared" si="15"/>
        <v>55.788839107537683</v>
      </c>
      <c r="P74" s="69">
        <f t="shared" si="16"/>
        <v>61.269078705527633</v>
      </c>
      <c r="Q74" s="69">
        <f t="shared" si="17"/>
        <v>62.357500272211475</v>
      </c>
      <c r="R74" s="69">
        <f t="shared" si="20"/>
        <v>114.14624325506537</v>
      </c>
    </row>
    <row r="75" spans="1:18" x14ac:dyDescent="0.3">
      <c r="A75" s="58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19" t="s">
        <v>65</v>
      </c>
      <c r="H75" s="22">
        <v>10.4</v>
      </c>
      <c r="I75" s="22">
        <v>5.5</v>
      </c>
      <c r="J75" s="65">
        <v>0.52606635071090047</v>
      </c>
      <c r="K75" s="70">
        <f t="shared" si="13"/>
        <v>44.290432787059352</v>
      </c>
      <c r="L75" s="70">
        <f t="shared" si="14"/>
        <v>15.427344441112673</v>
      </c>
      <c r="M75" s="70">
        <f t="shared" si="18"/>
        <v>14.510907840000003</v>
      </c>
      <c r="N75" s="68">
        <f t="shared" si="19"/>
        <v>22.07248418832577</v>
      </c>
      <c r="O75" s="69">
        <f t="shared" si="15"/>
        <v>15.928969251184835</v>
      </c>
      <c r="P75" s="69">
        <f t="shared" si="16"/>
        <v>17.493701004739339</v>
      </c>
      <c r="Q75" s="69">
        <f t="shared" si="17"/>
        <v>18.348208998966758</v>
      </c>
      <c r="R75" s="69">
        <f t="shared" si="20"/>
        <v>33.921106097264563</v>
      </c>
    </row>
    <row r="76" spans="1:18" x14ac:dyDescent="0.3">
      <c r="A76" s="58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19" t="s">
        <v>21</v>
      </c>
      <c r="H76" s="22">
        <v>14.9</v>
      </c>
      <c r="I76" s="22">
        <v>7.9</v>
      </c>
      <c r="J76" s="65">
        <v>0.47868852459016392</v>
      </c>
      <c r="K76" s="70">
        <f t="shared" si="13"/>
        <v>109.99598540047349</v>
      </c>
      <c r="L76" s="70">
        <f t="shared" si="14"/>
        <v>43.295811826046453</v>
      </c>
      <c r="M76" s="70">
        <f t="shared" si="18"/>
        <v>42.782370447000005</v>
      </c>
      <c r="N76" s="68">
        <f t="shared" si="19"/>
        <v>53.149467496722004</v>
      </c>
      <c r="O76" s="69">
        <f t="shared" si="15"/>
        <v>42.733693116721319</v>
      </c>
      <c r="P76" s="69">
        <f t="shared" si="16"/>
        <v>46.93150187081968</v>
      </c>
      <c r="Q76" s="69">
        <f t="shared" si="17"/>
        <v>48.071806769321661</v>
      </c>
      <c r="R76" s="69">
        <f t="shared" si="20"/>
        <v>74.0080629255487</v>
      </c>
    </row>
    <row r="77" spans="1:18" x14ac:dyDescent="0.3">
      <c r="A77" s="58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19" t="s">
        <v>21</v>
      </c>
      <c r="H77" s="22">
        <v>16.399999999999999</v>
      </c>
      <c r="I77" s="22">
        <v>10</v>
      </c>
      <c r="J77" s="65">
        <v>0.49538461538461537</v>
      </c>
      <c r="K77" s="70">
        <f t="shared" si="13"/>
        <v>140.20726290139211</v>
      </c>
      <c r="L77" s="70">
        <f t="shared" si="14"/>
        <v>60.47773997265007</v>
      </c>
      <c r="M77" s="70">
        <f t="shared" si="18"/>
        <v>65.607412800000006</v>
      </c>
      <c r="N77" s="68">
        <f t="shared" si="19"/>
        <v>82.704910978562808</v>
      </c>
      <c r="O77" s="69">
        <f t="shared" si="15"/>
        <v>67.818470892307687</v>
      </c>
      <c r="P77" s="69">
        <f t="shared" si="16"/>
        <v>74.480403199999984</v>
      </c>
      <c r="Q77" s="69">
        <f t="shared" si="17"/>
        <v>75.449115057899988</v>
      </c>
      <c r="R77" s="69">
        <f t="shared" si="20"/>
        <v>101.8636676751098</v>
      </c>
    </row>
    <row r="78" spans="1:18" x14ac:dyDescent="0.3">
      <c r="A78" s="58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19" t="s">
        <v>21</v>
      </c>
      <c r="H78" s="22">
        <v>15.7</v>
      </c>
      <c r="I78" s="22">
        <v>9.5</v>
      </c>
      <c r="J78" s="65">
        <v>0.4955223880597015</v>
      </c>
      <c r="K78" s="70">
        <f t="shared" si="13"/>
        <v>125.55722142341924</v>
      </c>
      <c r="L78" s="70">
        <f t="shared" si="14"/>
        <v>53.19512257675742</v>
      </c>
      <c r="M78" s="70">
        <f t="shared" si="18"/>
        <v>57.119990414999997</v>
      </c>
      <c r="N78" s="68">
        <f t="shared" si="19"/>
        <v>73.528569914981659</v>
      </c>
      <c r="O78" s="69">
        <f t="shared" si="15"/>
        <v>59.061432110447754</v>
      </c>
      <c r="P78" s="69">
        <f t="shared" si="16"/>
        <v>64.863144498507452</v>
      </c>
      <c r="Q78" s="69">
        <f t="shared" si="17"/>
        <v>65.925159127278846</v>
      </c>
      <c r="R78" s="69">
        <f t="shared" si="20"/>
        <v>91.327831776146283</v>
      </c>
    </row>
    <row r="79" spans="1:18" x14ac:dyDescent="0.3">
      <c r="A79" s="58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19" t="s">
        <v>21</v>
      </c>
      <c r="H79" s="22">
        <v>10.3</v>
      </c>
      <c r="I79" s="22">
        <v>9.1999999999999993</v>
      </c>
      <c r="J79" s="65">
        <v>0.53535353535353536</v>
      </c>
      <c r="K79" s="70">
        <f t="shared" si="13"/>
        <v>43.220894830407985</v>
      </c>
      <c r="L79" s="70">
        <f t="shared" si="14"/>
        <v>18.736217076044156</v>
      </c>
      <c r="M79" s="70">
        <f t="shared" si="18"/>
        <v>23.808251004000006</v>
      </c>
      <c r="N79" s="68">
        <f t="shared" si="19"/>
        <v>47.155126535749247</v>
      </c>
      <c r="O79" s="69">
        <f t="shared" si="15"/>
        <v>26.596270056565661</v>
      </c>
      <c r="P79" s="69">
        <f t="shared" si="16"/>
        <v>29.208870258585865</v>
      </c>
      <c r="Q79" s="69">
        <f t="shared" si="17"/>
        <v>30.261018784848254</v>
      </c>
      <c r="R79" s="69">
        <f t="shared" si="20"/>
        <v>40.34280708800059</v>
      </c>
    </row>
    <row r="80" spans="1:18" x14ac:dyDescent="0.3">
      <c r="A80" s="58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19" t="s">
        <v>21</v>
      </c>
      <c r="H80" s="22">
        <v>13</v>
      </c>
      <c r="I80" s="22">
        <v>10.7</v>
      </c>
      <c r="J80" s="65">
        <v>0.57358490566037734</v>
      </c>
      <c r="K80" s="70">
        <f t="shared" si="13"/>
        <v>77.891892706831428</v>
      </c>
      <c r="L80" s="70">
        <f t="shared" si="14"/>
        <v>35.278226863741374</v>
      </c>
      <c r="M80" s="70">
        <f t="shared" si="18"/>
        <v>44.109861899999999</v>
      </c>
      <c r="N80" s="68">
        <f t="shared" si="19"/>
        <v>73.542705754276597</v>
      </c>
      <c r="O80" s="69">
        <f t="shared" si="15"/>
        <v>52.794171471698107</v>
      </c>
      <c r="P80" s="69">
        <f t="shared" si="16"/>
        <v>57.980239396226409</v>
      </c>
      <c r="Q80" s="69">
        <f t="shared" si="17"/>
        <v>59.088426332052592</v>
      </c>
      <c r="R80" s="69">
        <f t="shared" si="20"/>
        <v>74.75950151094051</v>
      </c>
    </row>
    <row r="81" spans="1:18" x14ac:dyDescent="0.3">
      <c r="A81" s="58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19" t="s">
        <v>21</v>
      </c>
      <c r="H81" s="22">
        <v>19.399999999999999</v>
      </c>
      <c r="I81" s="22">
        <v>14.8</v>
      </c>
      <c r="J81" s="65">
        <v>0.53076923076923077</v>
      </c>
      <c r="K81" s="70">
        <f t="shared" si="13"/>
        <v>214.46377803854753</v>
      </c>
      <c r="L81" s="70">
        <f t="shared" si="14"/>
        <v>107.64177113140825</v>
      </c>
      <c r="M81" s="70">
        <f t="shared" si="18"/>
        <v>135.87213230399999</v>
      </c>
      <c r="N81" s="68">
        <f t="shared" si="19"/>
        <v>173.92645011025255</v>
      </c>
      <c r="O81" s="69">
        <f t="shared" si="15"/>
        <v>150.48343499076921</v>
      </c>
      <c r="P81" s="69">
        <f t="shared" si="16"/>
        <v>165.26569775999997</v>
      </c>
      <c r="Q81" s="69">
        <f t="shared" si="17"/>
        <v>164.2432295155501</v>
      </c>
      <c r="R81" s="69">
        <f t="shared" si="20"/>
        <v>178.69805057469441</v>
      </c>
    </row>
    <row r="82" spans="1:18" x14ac:dyDescent="0.3">
      <c r="A82" s="58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19" t="s">
        <v>68</v>
      </c>
      <c r="H82" s="22">
        <v>12.5</v>
      </c>
      <c r="I82" s="22">
        <v>10</v>
      </c>
      <c r="J82" s="65">
        <v>0.62621359223300976</v>
      </c>
      <c r="K82" s="70">
        <f t="shared" si="13"/>
        <v>70.533901748511354</v>
      </c>
      <c r="L82" s="70">
        <f t="shared" si="14"/>
        <v>31.148792090580091</v>
      </c>
      <c r="M82" s="70">
        <f t="shared" si="18"/>
        <v>38.114062500000003</v>
      </c>
      <c r="N82" s="68">
        <f t="shared" si="19"/>
        <v>64.069030475006201</v>
      </c>
      <c r="O82" s="69">
        <f t="shared" si="15"/>
        <v>49.803549757281559</v>
      </c>
      <c r="P82" s="69">
        <f t="shared" si="16"/>
        <v>54.695843446601948</v>
      </c>
      <c r="Q82" s="69">
        <f t="shared" si="17"/>
        <v>55.819322345441336</v>
      </c>
      <c r="R82" s="69">
        <f t="shared" si="20"/>
        <v>73.92578590684019</v>
      </c>
    </row>
    <row r="83" spans="1:18" x14ac:dyDescent="0.3">
      <c r="A83" s="58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19" t="s">
        <v>68</v>
      </c>
      <c r="H83" s="22">
        <v>18.399999999999999</v>
      </c>
      <c r="I83" s="22">
        <v>10.3</v>
      </c>
      <c r="J83" s="65">
        <v>0.56457564575645758</v>
      </c>
      <c r="K83" s="70">
        <f t="shared" si="13"/>
        <v>187.58783357846065</v>
      </c>
      <c r="L83" s="70">
        <f t="shared" si="14"/>
        <v>81.121811287526796</v>
      </c>
      <c r="M83" s="70">
        <f t="shared" si="18"/>
        <v>85.062489024000001</v>
      </c>
      <c r="N83" s="68">
        <f t="shared" si="19"/>
        <v>96.313325356626962</v>
      </c>
      <c r="O83" s="69">
        <f t="shared" si="15"/>
        <v>100.21039938597785</v>
      </c>
      <c r="P83" s="69">
        <f t="shared" si="16"/>
        <v>110.05425001328412</v>
      </c>
      <c r="Q83" s="69">
        <f t="shared" si="17"/>
        <v>110.44584815000421</v>
      </c>
      <c r="R83" s="69">
        <f t="shared" si="20"/>
        <v>151.00130784005572</v>
      </c>
    </row>
    <row r="84" spans="1:18" x14ac:dyDescent="0.3">
      <c r="A84" s="58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19" t="s">
        <v>68</v>
      </c>
      <c r="H84" s="22">
        <v>10.6</v>
      </c>
      <c r="I84" s="22">
        <v>7</v>
      </c>
      <c r="J84" s="65">
        <v>0.60759493670886078</v>
      </c>
      <c r="K84" s="70">
        <f t="shared" si="13"/>
        <v>46.47714204591221</v>
      </c>
      <c r="L84" s="70">
        <f t="shared" si="14"/>
        <v>17.900699655890886</v>
      </c>
      <c r="M84" s="70">
        <f t="shared" si="18"/>
        <v>19.185582360000002</v>
      </c>
      <c r="N84" s="68">
        <f t="shared" si="19"/>
        <v>32.212328329531104</v>
      </c>
      <c r="O84" s="69">
        <f t="shared" si="15"/>
        <v>24.324375493670885</v>
      </c>
      <c r="P84" s="69">
        <f t="shared" si="16"/>
        <v>26.713803341772149</v>
      </c>
      <c r="Q84" s="69">
        <f t="shared" si="17"/>
        <v>27.735449378868587</v>
      </c>
      <c r="R84" s="69">
        <f t="shared" si="20"/>
        <v>44.763789597288905</v>
      </c>
    </row>
    <row r="85" spans="1:18" x14ac:dyDescent="0.3">
      <c r="A85" s="58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19" t="s">
        <v>68</v>
      </c>
      <c r="H85" s="22">
        <v>11.2</v>
      </c>
      <c r="I85" s="22">
        <v>6.8</v>
      </c>
      <c r="J85" s="65">
        <v>0.60431654676258995</v>
      </c>
      <c r="K85" s="70">
        <f t="shared" si="13"/>
        <v>53.424094875784782</v>
      </c>
      <c r="L85" s="70">
        <f t="shared" si="14"/>
        <v>20.228474840287124</v>
      </c>
      <c r="M85" s="70">
        <f t="shared" si="18"/>
        <v>20.807033855999997</v>
      </c>
      <c r="N85" s="68">
        <f t="shared" si="19"/>
        <v>32.486755724915824</v>
      </c>
      <c r="O85" s="69">
        <f t="shared" si="15"/>
        <v>26.237788454676256</v>
      </c>
      <c r="P85" s="69">
        <f t="shared" si="16"/>
        <v>28.815174353956824</v>
      </c>
      <c r="Q85" s="69">
        <f t="shared" si="17"/>
        <v>29.862865718884397</v>
      </c>
      <c r="R85" s="69">
        <f t="shared" si="20"/>
        <v>49.496057836155352</v>
      </c>
    </row>
    <row r="86" spans="1:18" x14ac:dyDescent="0.3">
      <c r="A86" s="58" t="s">
        <v>67</v>
      </c>
      <c r="B86" s="19" t="s">
        <v>24</v>
      </c>
      <c r="C86" s="22">
        <v>1</v>
      </c>
      <c r="D86" s="22">
        <v>1</v>
      </c>
      <c r="E86" s="22">
        <v>1</v>
      </c>
      <c r="F86" s="22">
        <v>1667</v>
      </c>
      <c r="G86" s="19" t="s">
        <v>68</v>
      </c>
      <c r="H86" s="29">
        <f>SQRT(8.9^2+9.1^2)</f>
        <v>12.728707711311467</v>
      </c>
      <c r="I86" s="22">
        <v>7.4</v>
      </c>
      <c r="J86" s="65">
        <v>0.67441860465116277</v>
      </c>
      <c r="K86" s="70">
        <f t="shared" si="13"/>
        <v>73.844795109259877</v>
      </c>
      <c r="L86" s="70">
        <f t="shared" si="14"/>
        <v>28.660728509382317</v>
      </c>
      <c r="M86" s="70">
        <f t="shared" si="18"/>
        <v>29.245938563999999</v>
      </c>
      <c r="N86" s="68">
        <f t="shared" si="19"/>
        <v>41.570556397060486</v>
      </c>
      <c r="O86" s="69">
        <f t="shared" si="15"/>
        <v>41.157375413953481</v>
      </c>
      <c r="P86" s="69">
        <f t="shared" si="16"/>
        <v>45.200339599999992</v>
      </c>
      <c r="Q86" s="69">
        <f t="shared" si="17"/>
        <v>46.340363566343278</v>
      </c>
      <c r="R86" s="69">
        <f t="shared" si="20"/>
        <v>75.099406572605446</v>
      </c>
    </row>
    <row r="87" spans="1:18" x14ac:dyDescent="0.3">
      <c r="A87" s="58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19" t="s">
        <v>68</v>
      </c>
      <c r="H87" s="22">
        <v>12.4</v>
      </c>
      <c r="I87" s="22">
        <v>8.6999999999999993</v>
      </c>
      <c r="J87" s="65">
        <v>0.6244343891402715</v>
      </c>
      <c r="K87" s="70">
        <f t="shared" si="13"/>
        <v>69.115020167033279</v>
      </c>
      <c r="L87" s="70">
        <f t="shared" si="14"/>
        <v>28.793749206298198</v>
      </c>
      <c r="M87" s="70">
        <f t="shared" si="18"/>
        <v>32.630808815999998</v>
      </c>
      <c r="N87" s="68">
        <f t="shared" si="19"/>
        <v>51.648450291631839</v>
      </c>
      <c r="O87" s="69">
        <f t="shared" si="15"/>
        <v>42.517450816289589</v>
      </c>
      <c r="P87" s="69">
        <f t="shared" si="16"/>
        <v>46.694017694117647</v>
      </c>
      <c r="Q87" s="69">
        <f t="shared" si="17"/>
        <v>47.834376051593516</v>
      </c>
      <c r="R87" s="69">
        <f t="shared" si="20"/>
        <v>69.110064770624604</v>
      </c>
    </row>
    <row r="88" spans="1:18" x14ac:dyDescent="0.3">
      <c r="A88" s="58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19" t="s">
        <v>54</v>
      </c>
      <c r="H88" s="22">
        <v>13</v>
      </c>
      <c r="I88" s="22">
        <v>9.6</v>
      </c>
      <c r="J88" s="65">
        <v>0.43252595155709345</v>
      </c>
      <c r="K88" s="70">
        <f t="shared" si="13"/>
        <v>77.891892706831428</v>
      </c>
      <c r="L88" s="70">
        <f t="shared" si="14"/>
        <v>33.693783470036891</v>
      </c>
      <c r="M88" s="70">
        <f t="shared" si="18"/>
        <v>39.575203199999997</v>
      </c>
      <c r="N88" s="68">
        <f t="shared" si="19"/>
        <v>62.544654320363392</v>
      </c>
      <c r="O88" s="69">
        <f t="shared" si="15"/>
        <v>35.718062283737027</v>
      </c>
      <c r="P88" s="69">
        <f t="shared" si="16"/>
        <v>39.226712802768162</v>
      </c>
      <c r="Q88" s="69">
        <f t="shared" si="17"/>
        <v>40.35311727239008</v>
      </c>
      <c r="R88" s="69">
        <f t="shared" si="20"/>
        <v>53.164716344182274</v>
      </c>
    </row>
    <row r="89" spans="1:18" x14ac:dyDescent="0.3">
      <c r="A89" s="58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19" t="s">
        <v>54</v>
      </c>
      <c r="H89" s="22">
        <v>12.8</v>
      </c>
      <c r="I89" s="22">
        <v>9.4</v>
      </c>
      <c r="J89" s="65">
        <v>0.43609022556390975</v>
      </c>
      <c r="K89" s="70">
        <f t="shared" si="13"/>
        <v>74.895685278979826</v>
      </c>
      <c r="L89" s="70">
        <f t="shared" si="14"/>
        <v>32.15322768293445</v>
      </c>
      <c r="M89" s="70">
        <f t="shared" si="18"/>
        <v>37.567561728000015</v>
      </c>
      <c r="N89" s="68">
        <f t="shared" si="19"/>
        <v>59.731894624799722</v>
      </c>
      <c r="O89" s="69">
        <f t="shared" si="15"/>
        <v>34.185499332330835</v>
      </c>
      <c r="P89" s="69">
        <f t="shared" si="16"/>
        <v>37.543603392481209</v>
      </c>
      <c r="Q89" s="69">
        <f t="shared" si="17"/>
        <v>38.662348411836803</v>
      </c>
      <c r="R89" s="69">
        <f t="shared" si="20"/>
        <v>51.540180959640246</v>
      </c>
    </row>
    <row r="90" spans="1:18" x14ac:dyDescent="0.3">
      <c r="A90" s="58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19" t="s">
        <v>54</v>
      </c>
      <c r="H90" s="22">
        <v>13.8</v>
      </c>
      <c r="I90" s="22">
        <v>7.5</v>
      </c>
      <c r="J90" s="65">
        <v>0.4375</v>
      </c>
      <c r="K90" s="70">
        <f t="shared" si="13"/>
        <v>90.596133738718223</v>
      </c>
      <c r="L90" s="70">
        <f t="shared" si="14"/>
        <v>35.116049661273735</v>
      </c>
      <c r="M90" s="70">
        <f t="shared" si="18"/>
        <v>34.840521900000006</v>
      </c>
      <c r="N90" s="68">
        <f t="shared" si="19"/>
        <v>45.7601308317277</v>
      </c>
      <c r="O90" s="69">
        <f t="shared" si="15"/>
        <v>31.806455625000002</v>
      </c>
      <c r="P90" s="69">
        <f t="shared" si="16"/>
        <v>34.930861874999998</v>
      </c>
      <c r="Q90" s="69">
        <f t="shared" si="17"/>
        <v>36.034078301921397</v>
      </c>
      <c r="R90" s="69">
        <f t="shared" si="20"/>
        <v>56.136427487314705</v>
      </c>
    </row>
    <row r="91" spans="1:18" x14ac:dyDescent="0.3">
      <c r="A91" s="58" t="s">
        <v>69</v>
      </c>
      <c r="B91" s="19" t="s">
        <v>24</v>
      </c>
      <c r="C91" s="22">
        <v>2</v>
      </c>
      <c r="D91" s="22">
        <v>1</v>
      </c>
      <c r="E91" s="22">
        <v>1</v>
      </c>
      <c r="F91" s="22">
        <v>143</v>
      </c>
      <c r="G91" s="19" t="s">
        <v>54</v>
      </c>
      <c r="H91" s="22">
        <f>SQRT(10^2+10.5^2)</f>
        <v>14.5</v>
      </c>
      <c r="I91" s="22">
        <v>9.4</v>
      </c>
      <c r="J91" s="65">
        <v>0.36301369863013699</v>
      </c>
      <c r="K91" s="70">
        <f t="shared" si="13"/>
        <v>102.67781571633475</v>
      </c>
      <c r="L91" s="70">
        <f t="shared" si="14"/>
        <v>43.606570238836049</v>
      </c>
      <c r="M91" s="70">
        <f t="shared" si="18"/>
        <v>48.209105550000004</v>
      </c>
      <c r="N91" s="68">
        <f t="shared" si="19"/>
        <v>67.162441968606117</v>
      </c>
      <c r="O91" s="69">
        <f t="shared" si="15"/>
        <v>36.517804075342468</v>
      </c>
      <c r="P91" s="69">
        <f t="shared" si="16"/>
        <v>40.105014691780831</v>
      </c>
      <c r="Q91" s="69">
        <f t="shared" si="17"/>
        <v>41.234720124023347</v>
      </c>
      <c r="R91" s="69">
        <f t="shared" si="20"/>
        <v>55.034210665303689</v>
      </c>
    </row>
    <row r="92" spans="1:18" x14ac:dyDescent="0.3">
      <c r="A92" s="58" t="s">
        <v>69</v>
      </c>
      <c r="B92" s="19" t="s">
        <v>59</v>
      </c>
      <c r="C92" s="22">
        <v>2</v>
      </c>
      <c r="D92" s="22">
        <v>1</v>
      </c>
      <c r="E92" s="22">
        <v>1</v>
      </c>
      <c r="F92" s="22">
        <v>276</v>
      </c>
      <c r="G92" s="19" t="s">
        <v>54</v>
      </c>
      <c r="H92" s="29">
        <f>SQRT(12.2^2+9^2+8.4^2+11.8^2)</f>
        <v>20.967594044143453</v>
      </c>
      <c r="I92" s="22">
        <v>6.3</v>
      </c>
      <c r="J92" s="65">
        <v>0.42028985507246375</v>
      </c>
      <c r="K92" s="70">
        <f t="shared" si="13"/>
        <v>261.0559118175932</v>
      </c>
      <c r="L92" s="70">
        <f t="shared" si="14"/>
        <v>90.638665729245702</v>
      </c>
      <c r="M92" s="70">
        <f t="shared" si="18"/>
        <v>67.562072676</v>
      </c>
      <c r="N92" s="68">
        <f t="shared" si="19"/>
        <v>52.267042953778194</v>
      </c>
      <c r="O92" s="69">
        <f t="shared" si="15"/>
        <v>59.252194278260866</v>
      </c>
      <c r="P92" s="69">
        <f t="shared" si="16"/>
        <v>65.0726455826087</v>
      </c>
      <c r="Q92" s="69">
        <f t="shared" si="17"/>
        <v>66.132972009403403</v>
      </c>
      <c r="R92" s="69">
        <f t="shared" si="20"/>
        <v>122.47605978522188</v>
      </c>
    </row>
    <row r="93" spans="1:18" x14ac:dyDescent="0.3">
      <c r="A93" s="58" t="s">
        <v>69</v>
      </c>
      <c r="B93" s="19" t="s">
        <v>30</v>
      </c>
      <c r="C93" s="22">
        <v>2</v>
      </c>
      <c r="D93" s="22">
        <v>1</v>
      </c>
      <c r="E93" s="22">
        <v>1</v>
      </c>
      <c r="F93" s="22">
        <v>78</v>
      </c>
      <c r="G93" s="19" t="s">
        <v>54</v>
      </c>
      <c r="H93" s="29">
        <f>SQRT(11.5^2+6.6^2+5.4^2)</f>
        <v>14.316773379501402</v>
      </c>
      <c r="I93" s="22">
        <v>11.9</v>
      </c>
      <c r="J93" s="65">
        <v>0.42567567567567566</v>
      </c>
      <c r="K93" s="70">
        <f t="shared" si="13"/>
        <v>99.426878853795031</v>
      </c>
      <c r="L93" s="70">
        <f t="shared" si="14"/>
        <v>46.713518059013666</v>
      </c>
      <c r="M93" s="70">
        <f t="shared" si="18"/>
        <v>59.498015199000001</v>
      </c>
      <c r="N93" s="68">
        <f t="shared" si="19"/>
        <v>94.377420043817139</v>
      </c>
      <c r="O93" s="69">
        <f t="shared" si="15"/>
        <v>52.848647689864862</v>
      </c>
      <c r="P93" s="69">
        <f t="shared" si="16"/>
        <v>58.04006691283783</v>
      </c>
      <c r="Q93" s="69">
        <f t="shared" si="17"/>
        <v>59.147933302101769</v>
      </c>
      <c r="R93" s="69">
        <f t="shared" si="20"/>
        <v>68.910093621170745</v>
      </c>
    </row>
    <row r="94" spans="1:18" x14ac:dyDescent="0.3">
      <c r="A94" s="58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19" t="s">
        <v>71</v>
      </c>
      <c r="H94" s="29">
        <f>SQRT(13^2 + 23^2)</f>
        <v>26.419689627245813</v>
      </c>
      <c r="I94" s="22">
        <v>16.7</v>
      </c>
      <c r="J94" s="65">
        <v>0.49367088607594939</v>
      </c>
      <c r="K94" s="70">
        <f t="shared" si="13"/>
        <v>468.48175851864397</v>
      </c>
      <c r="L94" s="70">
        <f t="shared" si="14"/>
        <v>240.94520938125982</v>
      </c>
      <c r="M94" s="70">
        <f t="shared" si="18"/>
        <v>284.33944380000003</v>
      </c>
      <c r="N94" s="68">
        <f t="shared" si="19"/>
        <v>278.48344451443529</v>
      </c>
      <c r="O94" s="69">
        <f t="shared" si="15"/>
        <v>292.90527417721518</v>
      </c>
      <c r="P94" s="69">
        <f t="shared" si="16"/>
        <v>321.67789443037975</v>
      </c>
      <c r="Q94" s="69">
        <f t="shared" si="17"/>
        <v>314.61849402512235</v>
      </c>
      <c r="R94" s="69">
        <f t="shared" si="20"/>
        <v>330.42201599446668</v>
      </c>
    </row>
    <row r="95" spans="1:18" x14ac:dyDescent="0.3">
      <c r="A95" s="58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19" t="s">
        <v>71</v>
      </c>
      <c r="H95" s="29">
        <f>SQRT(12.3^2 + 1.9^2)</f>
        <v>12.445882853377659</v>
      </c>
      <c r="I95" s="22">
        <v>11.5</v>
      </c>
      <c r="J95" s="65">
        <v>0.51980198019801982</v>
      </c>
      <c r="K95" s="70">
        <f t="shared" si="13"/>
        <v>69.763878825859038</v>
      </c>
      <c r="L95" s="70">
        <f t="shared" si="14"/>
        <v>32.70008719576299</v>
      </c>
      <c r="M95" s="70">
        <f t="shared" si="18"/>
        <v>43.452470550000008</v>
      </c>
      <c r="N95" s="68">
        <f t="shared" si="19"/>
        <v>78.616145747965604</v>
      </c>
      <c r="O95" s="69">
        <f t="shared" si="15"/>
        <v>47.13081720297032</v>
      </c>
      <c r="P95" s="69">
        <f t="shared" si="16"/>
        <v>51.760563490099017</v>
      </c>
      <c r="Q95" s="69">
        <f t="shared" si="17"/>
        <v>52.893725791988182</v>
      </c>
      <c r="R95" s="69">
        <f t="shared" si="20"/>
        <v>62.855699341717568</v>
      </c>
    </row>
    <row r="96" spans="1:18" x14ac:dyDescent="0.3">
      <c r="A96" s="58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19" t="s">
        <v>71</v>
      </c>
      <c r="H96" s="22">
        <v>17.399999999999999</v>
      </c>
      <c r="I96" s="22">
        <v>12.7</v>
      </c>
      <c r="J96" s="65">
        <v>0.44144144144144143</v>
      </c>
      <c r="K96" s="70">
        <f t="shared" si="13"/>
        <v>162.85652878990595</v>
      </c>
      <c r="L96" s="70">
        <f t="shared" si="14"/>
        <v>77.334709965199011</v>
      </c>
      <c r="M96" s="70">
        <f t="shared" si="18"/>
        <v>93.792353435999971</v>
      </c>
      <c r="N96" s="68">
        <f t="shared" si="19"/>
        <v>124.94006305756919</v>
      </c>
      <c r="O96" s="69">
        <f t="shared" si="15"/>
        <v>86.395893632432404</v>
      </c>
      <c r="P96" s="69">
        <f t="shared" si="16"/>
        <v>94.882720118918883</v>
      </c>
      <c r="Q96" s="69">
        <f t="shared" si="17"/>
        <v>95.559919524165508</v>
      </c>
      <c r="R96" s="69">
        <f t="shared" si="20"/>
        <v>110.56717415446084</v>
      </c>
    </row>
    <row r="97" spans="1:18" x14ac:dyDescent="0.3">
      <c r="A97" s="58" t="s">
        <v>70</v>
      </c>
      <c r="B97" s="19" t="s">
        <v>30</v>
      </c>
      <c r="C97" s="22">
        <v>2</v>
      </c>
      <c r="D97" s="22">
        <v>1</v>
      </c>
      <c r="E97" s="22">
        <v>1</v>
      </c>
      <c r="F97" s="12">
        <v>85</v>
      </c>
      <c r="G97" s="19" t="s">
        <v>71</v>
      </c>
      <c r="H97" s="29">
        <f>SQRT(12.7^2+16.1^2+17.1^2)</f>
        <v>26.700374529208389</v>
      </c>
      <c r="I97" s="22">
        <v>13.1</v>
      </c>
      <c r="J97" s="65">
        <v>0.5</v>
      </c>
      <c r="K97" s="70">
        <f t="shared" si="13"/>
        <v>481.17657826855759</v>
      </c>
      <c r="L97" s="70">
        <f t="shared" si="14"/>
        <v>223.08256938292945</v>
      </c>
      <c r="M97" s="70">
        <f t="shared" si="18"/>
        <v>227.80917855300004</v>
      </c>
      <c r="N97" s="68">
        <f t="shared" si="19"/>
        <v>195.73196494423371</v>
      </c>
      <c r="O97" s="69">
        <f t="shared" si="15"/>
        <v>237.68062945000003</v>
      </c>
      <c r="P97" s="69">
        <f t="shared" si="16"/>
        <v>261.02843195000003</v>
      </c>
      <c r="Q97" s="69">
        <f t="shared" si="17"/>
        <v>256.58333558612424</v>
      </c>
      <c r="R97" s="69">
        <f t="shared" si="20"/>
        <v>315.39895624992721</v>
      </c>
    </row>
    <row r="98" spans="1:18" x14ac:dyDescent="0.3">
      <c r="A98" s="58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19" t="s">
        <v>71</v>
      </c>
      <c r="H98" s="22">
        <v>10.199999999999999</v>
      </c>
      <c r="I98" s="22">
        <v>9.5</v>
      </c>
      <c r="J98" s="65">
        <v>0.4494949494949495</v>
      </c>
      <c r="K98" s="70">
        <f t="shared" ref="K98:K129" si="21" xml:space="preserve"> EXP(-2.134 + 2.53*LN(H98))</f>
        <v>42.16712682704506</v>
      </c>
      <c r="L98" s="70">
        <f t="shared" ref="L98:L129" si="22">(0.02453 *(H98^2.443356)*(I98^0.423602))</f>
        <v>18.545241967789813</v>
      </c>
      <c r="M98" s="70">
        <f t="shared" si="18"/>
        <v>24.109553339999998</v>
      </c>
      <c r="N98" s="68">
        <f t="shared" si="19"/>
        <v>49.017861542719849</v>
      </c>
      <c r="O98" s="69">
        <f t="shared" ref="O98:O129" si="23" xml:space="preserve"> 0.0509*J98*H98^2*I98</f>
        <v>22.613435545454543</v>
      </c>
      <c r="P98" s="69">
        <f t="shared" ref="P98:P129" si="24">((0.0559)*((J98*H98^2*I98)))</f>
        <v>24.834794636363636</v>
      </c>
      <c r="Q98" s="69">
        <f t="shared" ref="Q98:Q129" si="25">((0.0673)*((J98*H98^2*I98)^0.976))</f>
        <v>25.829753348130183</v>
      </c>
      <c r="R98" s="69">
        <f t="shared" si="20"/>
        <v>33.098073540042442</v>
      </c>
    </row>
    <row r="99" spans="1:18" x14ac:dyDescent="0.3">
      <c r="A99" s="58" t="s">
        <v>70</v>
      </c>
      <c r="B99" s="19" t="s">
        <v>30</v>
      </c>
      <c r="C99" s="22">
        <v>2</v>
      </c>
      <c r="D99" s="22">
        <v>2</v>
      </c>
      <c r="E99" s="22">
        <v>0</v>
      </c>
      <c r="F99" s="22">
        <v>800</v>
      </c>
      <c r="G99" s="19" t="s">
        <v>71</v>
      </c>
      <c r="H99" s="22">
        <v>14.6</v>
      </c>
      <c r="I99" s="22">
        <v>6.5</v>
      </c>
      <c r="J99" s="65">
        <v>0.52631578947368418</v>
      </c>
      <c r="K99" s="70">
        <f t="shared" si="21"/>
        <v>104.47883005194718</v>
      </c>
      <c r="L99" s="70">
        <f t="shared" si="22"/>
        <v>37.929560304354879</v>
      </c>
      <c r="M99" s="70">
        <f t="shared" si="18"/>
        <v>33.797477220000005</v>
      </c>
      <c r="N99" s="68">
        <f t="shared" si="19"/>
        <v>38.967033432307588</v>
      </c>
      <c r="O99" s="69">
        <f t="shared" si="23"/>
        <v>37.117887368421052</v>
      </c>
      <c r="P99" s="69">
        <f t="shared" si="24"/>
        <v>40.76404526315789</v>
      </c>
      <c r="Q99" s="69">
        <f t="shared" si="25"/>
        <v>41.89592276451657</v>
      </c>
      <c r="R99" s="69">
        <f t="shared" si="20"/>
        <v>73.485751503146403</v>
      </c>
    </row>
    <row r="100" spans="1:18" x14ac:dyDescent="0.3">
      <c r="A100" s="58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19" t="s">
        <v>21</v>
      </c>
      <c r="H100" s="22">
        <v>10.9</v>
      </c>
      <c r="I100" s="22">
        <v>8.9</v>
      </c>
      <c r="J100" s="65">
        <v>0.5536723163841808</v>
      </c>
      <c r="K100" s="70">
        <f t="shared" si="21"/>
        <v>49.877492892342957</v>
      </c>
      <c r="L100" s="70">
        <f t="shared" si="22"/>
        <v>21.215990492432166</v>
      </c>
      <c r="M100" s="70">
        <f t="shared" si="18"/>
        <v>25.793377737000004</v>
      </c>
      <c r="N100" s="68">
        <f t="shared" si="19"/>
        <v>47.331361483965239</v>
      </c>
      <c r="O100" s="69">
        <f t="shared" si="23"/>
        <v>29.799816801129943</v>
      </c>
      <c r="P100" s="69">
        <f t="shared" si="24"/>
        <v>32.727107253107349</v>
      </c>
      <c r="Q100" s="69">
        <f t="shared" si="25"/>
        <v>33.813566190380449</v>
      </c>
      <c r="R100" s="69">
        <f t="shared" si="20"/>
        <v>46.611329407870159</v>
      </c>
    </row>
    <row r="101" spans="1:18" x14ac:dyDescent="0.3">
      <c r="A101" s="58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19" t="s">
        <v>21</v>
      </c>
      <c r="H101" s="22">
        <v>12.7</v>
      </c>
      <c r="I101" s="22">
        <v>14.6</v>
      </c>
      <c r="J101" s="65">
        <v>0.56756756756756754</v>
      </c>
      <c r="K101" s="70">
        <f t="shared" si="21"/>
        <v>73.424160491296121</v>
      </c>
      <c r="L101" s="70">
        <f t="shared" si="22"/>
        <v>38.010640786993164</v>
      </c>
      <c r="M101" s="70">
        <f t="shared" si="18"/>
        <v>57.441465762</v>
      </c>
      <c r="N101" s="68">
        <f t="shared" si="19"/>
        <v>114.43127533021973</v>
      </c>
      <c r="O101" s="69">
        <f t="shared" si="23"/>
        <v>68.029244935135125</v>
      </c>
      <c r="P101" s="69">
        <f t="shared" si="24"/>
        <v>74.711881962162153</v>
      </c>
      <c r="Q101" s="69">
        <f t="shared" si="25"/>
        <v>75.677968221351819</v>
      </c>
      <c r="R101" s="69">
        <f t="shared" si="20"/>
        <v>78.20390633865253</v>
      </c>
    </row>
    <row r="102" spans="1:18" x14ac:dyDescent="0.3">
      <c r="A102" s="58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19" t="s">
        <v>21</v>
      </c>
      <c r="H102" s="22">
        <v>13.6</v>
      </c>
      <c r="I102" s="22">
        <v>16.100000000000001</v>
      </c>
      <c r="J102" s="65">
        <v>0.64782608695652177</v>
      </c>
      <c r="K102" s="70">
        <f t="shared" si="21"/>
        <v>87.311010340975002</v>
      </c>
      <c r="L102" s="70">
        <f t="shared" si="22"/>
        <v>46.83284013181116</v>
      </c>
      <c r="M102" s="70">
        <f t="shared" si="18"/>
        <v>72.638841408000005</v>
      </c>
      <c r="N102" s="68">
        <f t="shared" si="19"/>
        <v>141.22896600706767</v>
      </c>
      <c r="O102" s="69">
        <f t="shared" si="23"/>
        <v>98.192859519999999</v>
      </c>
      <c r="P102" s="69">
        <f t="shared" si="24"/>
        <v>107.83852352</v>
      </c>
      <c r="Q102" s="69">
        <f t="shared" si="25"/>
        <v>108.27507628589575</v>
      </c>
      <c r="R102" s="69">
        <f t="shared" si="20"/>
        <v>107.71453905887574</v>
      </c>
    </row>
    <row r="103" spans="1:18" x14ac:dyDescent="0.3">
      <c r="A103" s="58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19" t="s">
        <v>21</v>
      </c>
      <c r="H103" s="22">
        <v>10.6</v>
      </c>
      <c r="I103" s="22">
        <v>7.7</v>
      </c>
      <c r="J103" s="65">
        <v>0.55102040816326525</v>
      </c>
      <c r="K103" s="70">
        <f t="shared" si="21"/>
        <v>46.47714204591221</v>
      </c>
      <c r="L103" s="70">
        <f t="shared" si="22"/>
        <v>18.638202678656064</v>
      </c>
      <c r="M103" s="70">
        <f t="shared" si="18"/>
        <v>21.104140596000001</v>
      </c>
      <c r="N103" s="68">
        <f t="shared" si="19"/>
        <v>37.139026396509038</v>
      </c>
      <c r="O103" s="69">
        <f t="shared" si="23"/>
        <v>24.265426114285713</v>
      </c>
      <c r="P103" s="69">
        <f t="shared" si="24"/>
        <v>26.649063257142853</v>
      </c>
      <c r="Q103" s="69">
        <f t="shared" si="25"/>
        <v>27.669844641226401</v>
      </c>
      <c r="R103" s="69">
        <f t="shared" si="20"/>
        <v>41.618413343797897</v>
      </c>
    </row>
    <row r="104" spans="1:18" x14ac:dyDescent="0.3">
      <c r="A104" s="58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19" t="s">
        <v>21</v>
      </c>
      <c r="H104" s="22">
        <v>13.8</v>
      </c>
      <c r="I104" s="22">
        <v>12.8</v>
      </c>
      <c r="J104" s="65">
        <v>0.61440677966101698</v>
      </c>
      <c r="K104" s="70">
        <f t="shared" si="21"/>
        <v>90.596133738718223</v>
      </c>
      <c r="L104" s="70">
        <f t="shared" si="22"/>
        <v>44.039695834457007</v>
      </c>
      <c r="M104" s="70">
        <f t="shared" si="18"/>
        <v>59.461157376000017</v>
      </c>
      <c r="N104" s="68">
        <f t="shared" si="19"/>
        <v>101.65679572469709</v>
      </c>
      <c r="O104" s="69">
        <f t="shared" si="23"/>
        <v>76.232809220339007</v>
      </c>
      <c r="P104" s="69">
        <f t="shared" si="24"/>
        <v>83.721297355932222</v>
      </c>
      <c r="Q104" s="69">
        <f t="shared" si="25"/>
        <v>84.572472313041146</v>
      </c>
      <c r="R104" s="69">
        <f t="shared" si="20"/>
        <v>97.053024565573054</v>
      </c>
    </row>
    <row r="105" spans="1:18" x14ac:dyDescent="0.3">
      <c r="A105" s="58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19" t="s">
        <v>21</v>
      </c>
      <c r="H105" s="22">
        <v>12.1</v>
      </c>
      <c r="I105" s="22">
        <v>7.7</v>
      </c>
      <c r="J105" s="65">
        <v>0.51502145922746778</v>
      </c>
      <c r="K105" s="70">
        <f t="shared" si="21"/>
        <v>64.962474973218548</v>
      </c>
      <c r="L105" s="70">
        <f t="shared" si="22"/>
        <v>25.75413237671869</v>
      </c>
      <c r="M105" s="70">
        <f t="shared" si="18"/>
        <v>27.499619301000003</v>
      </c>
      <c r="N105" s="68">
        <f t="shared" si="19"/>
        <v>42.060419543499677</v>
      </c>
      <c r="O105" s="69">
        <f t="shared" si="23"/>
        <v>29.553204103004294</v>
      </c>
      <c r="P105" s="69">
        <f t="shared" si="24"/>
        <v>32.456269339055794</v>
      </c>
      <c r="Q105" s="69">
        <f t="shared" si="25"/>
        <v>33.540425826412473</v>
      </c>
      <c r="R105" s="69">
        <f t="shared" si="20"/>
        <v>51.164125329074061</v>
      </c>
    </row>
    <row r="106" spans="1:18" x14ac:dyDescent="0.3">
      <c r="A106" s="58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19" t="s">
        <v>68</v>
      </c>
      <c r="H106" s="22">
        <v>28.2</v>
      </c>
      <c r="I106" s="22">
        <v>12</v>
      </c>
      <c r="J106" s="65">
        <v>0.39212007504690433</v>
      </c>
      <c r="K106" s="70">
        <f t="shared" si="21"/>
        <v>552.51722213904952</v>
      </c>
      <c r="L106" s="70">
        <f t="shared" si="22"/>
        <v>245.64941979469467</v>
      </c>
      <c r="M106" s="70">
        <f t="shared" si="18"/>
        <v>232.77947184000004</v>
      </c>
      <c r="N106" s="68">
        <f t="shared" si="19"/>
        <v>180.75814264914587</v>
      </c>
      <c r="O106" s="69">
        <f t="shared" si="23"/>
        <v>190.46550042776738</v>
      </c>
      <c r="P106" s="69">
        <f t="shared" si="24"/>
        <v>209.17527453658539</v>
      </c>
      <c r="Q106" s="69">
        <f t="shared" si="25"/>
        <v>206.70893005715371</v>
      </c>
      <c r="R106" s="69">
        <f t="shared" si="20"/>
        <v>264.42669039913932</v>
      </c>
    </row>
    <row r="107" spans="1:18" x14ac:dyDescent="0.3">
      <c r="A107" s="58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19" t="s">
        <v>68</v>
      </c>
      <c r="H107" s="22">
        <v>17.100000000000001</v>
      </c>
      <c r="I107" s="22">
        <v>18.8</v>
      </c>
      <c r="J107" s="65">
        <v>0.35628742514970058</v>
      </c>
      <c r="K107" s="70">
        <f t="shared" si="21"/>
        <v>155.84602688297298</v>
      </c>
      <c r="L107" s="70">
        <f t="shared" si="22"/>
        <v>87.514860685528873</v>
      </c>
      <c r="M107" s="70">
        <f t="shared" si="18"/>
        <v>134.09583404400004</v>
      </c>
      <c r="N107" s="68">
        <f t="shared" si="19"/>
        <v>220.78846970540772</v>
      </c>
      <c r="O107" s="69">
        <f t="shared" si="23"/>
        <v>99.693845170059888</v>
      </c>
      <c r="P107" s="69">
        <f t="shared" si="24"/>
        <v>109.48695373293414</v>
      </c>
      <c r="Q107" s="69">
        <f t="shared" si="25"/>
        <v>109.89016242522811</v>
      </c>
      <c r="R107" s="69">
        <f t="shared" si="20"/>
        <v>96.687492077359821</v>
      </c>
    </row>
    <row r="108" spans="1:18" x14ac:dyDescent="0.3">
      <c r="A108" s="58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19" t="s">
        <v>68</v>
      </c>
      <c r="H108" s="22">
        <v>17.3</v>
      </c>
      <c r="I108" s="22">
        <v>17.399999999999999</v>
      </c>
      <c r="J108" s="65">
        <v>0.36792452830188677</v>
      </c>
      <c r="K108" s="70">
        <f t="shared" si="21"/>
        <v>160.49895775400125</v>
      </c>
      <c r="L108" s="70">
        <f t="shared" si="22"/>
        <v>87.133280508749834</v>
      </c>
      <c r="M108" s="70">
        <f t="shared" si="18"/>
        <v>127.03010887800001</v>
      </c>
      <c r="N108" s="68">
        <f t="shared" si="19"/>
        <v>198.85633123630345</v>
      </c>
      <c r="O108" s="69">
        <f t="shared" si="23"/>
        <v>97.525453533962249</v>
      </c>
      <c r="P108" s="69">
        <f t="shared" si="24"/>
        <v>107.10555702452828</v>
      </c>
      <c r="Q108" s="69">
        <f t="shared" si="25"/>
        <v>107.55674627784676</v>
      </c>
      <c r="R108" s="69">
        <f t="shared" si="20"/>
        <v>99.915274994187001</v>
      </c>
    </row>
    <row r="109" spans="1:18" x14ac:dyDescent="0.3">
      <c r="A109" s="58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19" t="s">
        <v>68</v>
      </c>
      <c r="H109" s="22">
        <v>18.3</v>
      </c>
      <c r="I109" s="22">
        <v>12.5</v>
      </c>
      <c r="J109" s="65">
        <v>0.34</v>
      </c>
      <c r="K109" s="70">
        <f t="shared" si="21"/>
        <v>185.01921441982611</v>
      </c>
      <c r="L109" s="70">
        <f t="shared" si="22"/>
        <v>86.889694113665016</v>
      </c>
      <c r="M109" s="70">
        <f t="shared" si="18"/>
        <v>102.11214712500004</v>
      </c>
      <c r="N109" s="68">
        <f t="shared" si="19"/>
        <v>127.93822863509165</v>
      </c>
      <c r="O109" s="69">
        <f t="shared" si="23"/>
        <v>72.44507925000002</v>
      </c>
      <c r="P109" s="69">
        <f t="shared" si="24"/>
        <v>79.561491750000016</v>
      </c>
      <c r="Q109" s="69">
        <f t="shared" si="25"/>
        <v>80.468737409728789</v>
      </c>
      <c r="R109" s="69">
        <f t="shared" si="20"/>
        <v>92.33571118051573</v>
      </c>
    </row>
    <row r="110" spans="1:18" x14ac:dyDescent="0.3">
      <c r="A110" s="58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19" t="s">
        <v>68</v>
      </c>
      <c r="H110" s="22">
        <v>12.6</v>
      </c>
      <c r="I110" s="22">
        <v>13</v>
      </c>
      <c r="J110" s="65">
        <v>0.39171974522292996</v>
      </c>
      <c r="K110" s="70">
        <f t="shared" si="21"/>
        <v>71.97025720631224</v>
      </c>
      <c r="L110" s="70">
        <f t="shared" si="22"/>
        <v>35.494670894729211</v>
      </c>
      <c r="M110" s="70">
        <f t="shared" si="18"/>
        <v>50.344224840000003</v>
      </c>
      <c r="N110" s="68">
        <f t="shared" si="19"/>
        <v>95.509005216350289</v>
      </c>
      <c r="O110" s="69">
        <f t="shared" si="23"/>
        <v>41.150743681528667</v>
      </c>
      <c r="P110" s="69">
        <f t="shared" si="24"/>
        <v>45.193056420382163</v>
      </c>
      <c r="Q110" s="69">
        <f t="shared" si="25"/>
        <v>46.33307588428837</v>
      </c>
      <c r="R110" s="69">
        <f t="shared" si="20"/>
        <v>49.590999913035589</v>
      </c>
    </row>
    <row r="111" spans="1:18" x14ac:dyDescent="0.3">
      <c r="A111" s="58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19" t="s">
        <v>68</v>
      </c>
      <c r="H111" s="22">
        <v>26.5</v>
      </c>
      <c r="I111" s="22">
        <v>16.3</v>
      </c>
      <c r="J111" s="65">
        <v>0.41425818882466281</v>
      </c>
      <c r="K111" s="70">
        <f t="shared" si="21"/>
        <v>472.09308233065354</v>
      </c>
      <c r="L111" s="70">
        <f t="shared" si="22"/>
        <v>240.25862504870284</v>
      </c>
      <c r="M111" s="70">
        <f t="shared" si="18"/>
        <v>279.21874327500007</v>
      </c>
      <c r="N111" s="68">
        <f t="shared" si="19"/>
        <v>269.3499012533162</v>
      </c>
      <c r="O111" s="69">
        <f t="shared" si="23"/>
        <v>241.36163364643545</v>
      </c>
      <c r="P111" s="69">
        <f t="shared" si="24"/>
        <v>265.0710279142582</v>
      </c>
      <c r="Q111" s="69">
        <f t="shared" si="25"/>
        <v>260.46100241808335</v>
      </c>
      <c r="R111" s="69">
        <f t="shared" si="20"/>
        <v>273.04816205079283</v>
      </c>
    </row>
    <row r="112" spans="1:18" x14ac:dyDescent="0.3">
      <c r="A112" s="58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19" t="s">
        <v>21</v>
      </c>
      <c r="H112" s="22">
        <v>26.2</v>
      </c>
      <c r="I112" s="22">
        <v>25.4</v>
      </c>
      <c r="J112" s="65">
        <v>0.71966527196652719</v>
      </c>
      <c r="K112" s="70">
        <f t="shared" si="21"/>
        <v>458.6884902777303</v>
      </c>
      <c r="L112" s="70">
        <f t="shared" si="22"/>
        <v>281.96999082390749</v>
      </c>
      <c r="M112" s="70">
        <f t="shared" si="18"/>
        <v>425.30600536799994</v>
      </c>
      <c r="N112" s="68">
        <f t="shared" si="19"/>
        <v>516.81003094250354</v>
      </c>
      <c r="O112" s="69">
        <f t="shared" si="23"/>
        <v>638.6819278861924</v>
      </c>
      <c r="P112" s="69">
        <f t="shared" si="24"/>
        <v>701.42082060585767</v>
      </c>
      <c r="Q112" s="69">
        <f t="shared" si="25"/>
        <v>673.31192321658455</v>
      </c>
      <c r="R112" s="69">
        <f t="shared" si="20"/>
        <v>561.8682444819467</v>
      </c>
    </row>
    <row r="113" spans="1:18" x14ac:dyDescent="0.3">
      <c r="A113" s="58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19" t="s">
        <v>21</v>
      </c>
      <c r="H113" s="22">
        <v>13.4</v>
      </c>
      <c r="I113" s="22">
        <v>9.1999999999999993</v>
      </c>
      <c r="J113" s="65">
        <v>0.52684563758389258</v>
      </c>
      <c r="K113" s="70">
        <f t="shared" si="21"/>
        <v>84.098977486623539</v>
      </c>
      <c r="L113" s="70">
        <f t="shared" si="22"/>
        <v>35.635123737706081</v>
      </c>
      <c r="M113" s="70">
        <f t="shared" si="18"/>
        <v>40.296065136000003</v>
      </c>
      <c r="N113" s="68">
        <f t="shared" si="19"/>
        <v>60.389994146942342</v>
      </c>
      <c r="O113" s="69">
        <f t="shared" si="23"/>
        <v>44.299476569127513</v>
      </c>
      <c r="P113" s="69">
        <f t="shared" si="24"/>
        <v>48.651095092617439</v>
      </c>
      <c r="Q113" s="69">
        <f t="shared" si="25"/>
        <v>49.790161749182154</v>
      </c>
      <c r="R113" s="69">
        <f t="shared" si="20"/>
        <v>69.084035106412657</v>
      </c>
    </row>
    <row r="114" spans="1:18" x14ac:dyDescent="0.3">
      <c r="A114" s="58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19" t="s">
        <v>21</v>
      </c>
      <c r="H114" s="22">
        <v>18.2</v>
      </c>
      <c r="I114" s="22">
        <v>15.5</v>
      </c>
      <c r="J114" s="65">
        <v>0.48806366047745359</v>
      </c>
      <c r="K114" s="70">
        <f t="shared" si="21"/>
        <v>182.47198110230858</v>
      </c>
      <c r="L114" s="70">
        <f t="shared" si="22"/>
        <v>93.913369430866794</v>
      </c>
      <c r="M114" s="70">
        <f t="shared" si="18"/>
        <v>125.23902845999999</v>
      </c>
      <c r="N114" s="68">
        <f t="shared" si="19"/>
        <v>175.49391333885745</v>
      </c>
      <c r="O114" s="69">
        <f t="shared" si="23"/>
        <v>127.54655393103447</v>
      </c>
      <c r="P114" s="69">
        <f t="shared" si="24"/>
        <v>140.07568496551721</v>
      </c>
      <c r="Q114" s="69">
        <f t="shared" si="25"/>
        <v>139.76266990555814</v>
      </c>
      <c r="R114" s="69">
        <f t="shared" si="20"/>
        <v>144.94334119994252</v>
      </c>
    </row>
    <row r="115" spans="1:18" x14ac:dyDescent="0.3">
      <c r="A115" s="58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19" t="s">
        <v>21</v>
      </c>
      <c r="H115" s="22">
        <v>13.7</v>
      </c>
      <c r="I115" s="22">
        <v>8.9</v>
      </c>
      <c r="J115" s="65">
        <v>0.50764525993883791</v>
      </c>
      <c r="K115" s="70">
        <f t="shared" si="21"/>
        <v>88.94440014742446</v>
      </c>
      <c r="L115" s="70">
        <f t="shared" si="22"/>
        <v>37.091472251702669</v>
      </c>
      <c r="M115" s="70">
        <f t="shared" si="18"/>
        <v>40.747067312999995</v>
      </c>
      <c r="N115" s="68">
        <f t="shared" si="19"/>
        <v>58.682250152619801</v>
      </c>
      <c r="O115" s="69">
        <f t="shared" si="23"/>
        <v>43.16276509296636</v>
      </c>
      <c r="P115" s="69">
        <f t="shared" si="24"/>
        <v>47.402722371253816</v>
      </c>
      <c r="Q115" s="69">
        <f t="shared" si="25"/>
        <v>48.542835974039988</v>
      </c>
      <c r="R115" s="69">
        <f t="shared" si="20"/>
        <v>68.771291653211193</v>
      </c>
    </row>
    <row r="116" spans="1:18" x14ac:dyDescent="0.3">
      <c r="A116" s="58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19" t="s">
        <v>21</v>
      </c>
      <c r="H116" s="22">
        <v>13.9</v>
      </c>
      <c r="I116" s="22">
        <v>12.3</v>
      </c>
      <c r="J116" s="65">
        <v>0.54304635761589404</v>
      </c>
      <c r="K116" s="70">
        <f t="shared" si="21"/>
        <v>92.266281958862521</v>
      </c>
      <c r="L116" s="70">
        <f t="shared" si="22"/>
        <v>44.073303437249265</v>
      </c>
      <c r="M116" s="70">
        <f t="shared" si="18"/>
        <v>57.969549819000008</v>
      </c>
      <c r="N116" s="68">
        <f t="shared" si="19"/>
        <v>96.437222959735195</v>
      </c>
      <c r="O116" s="69">
        <f t="shared" si="23"/>
        <v>65.688508247682122</v>
      </c>
      <c r="P116" s="69">
        <f t="shared" si="24"/>
        <v>72.14121043311259</v>
      </c>
      <c r="Q116" s="69">
        <f t="shared" si="25"/>
        <v>73.135487808863445</v>
      </c>
      <c r="R116" s="69">
        <f t="shared" si="20"/>
        <v>85.112630744970375</v>
      </c>
    </row>
    <row r="117" spans="1:18" x14ac:dyDescent="0.3">
      <c r="A117" s="58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19" t="s">
        <v>21</v>
      </c>
      <c r="H117" s="22">
        <v>17.7</v>
      </c>
      <c r="I117" s="22">
        <v>16.5</v>
      </c>
      <c r="J117" s="65">
        <v>0.56195965417867433</v>
      </c>
      <c r="K117" s="70">
        <f t="shared" si="21"/>
        <v>170.05442589514973</v>
      </c>
      <c r="L117" s="70">
        <f t="shared" si="22"/>
        <v>90.088457330316984</v>
      </c>
      <c r="M117" s="70">
        <f t="shared" si="18"/>
        <v>126.094369005</v>
      </c>
      <c r="N117" s="68">
        <f t="shared" si="19"/>
        <v>187.68584034807049</v>
      </c>
      <c r="O117" s="69">
        <f t="shared" si="23"/>
        <v>147.86091719740631</v>
      </c>
      <c r="P117" s="69">
        <f t="shared" si="24"/>
        <v>162.38556525216137</v>
      </c>
      <c r="Q117" s="69">
        <f t="shared" si="25"/>
        <v>161.44902365326683</v>
      </c>
      <c r="R117" s="69">
        <f t="shared" si="20"/>
        <v>162.49734376781083</v>
      </c>
    </row>
    <row r="118" spans="1:18" x14ac:dyDescent="0.3">
      <c r="A118" s="58" t="s">
        <v>75</v>
      </c>
      <c r="B118" s="19" t="s">
        <v>26</v>
      </c>
      <c r="C118" s="22">
        <v>1</v>
      </c>
      <c r="D118" s="22">
        <v>3</v>
      </c>
      <c r="E118" s="22">
        <v>2</v>
      </c>
      <c r="F118" s="22">
        <v>1218</v>
      </c>
      <c r="G118" s="19" t="s">
        <v>21</v>
      </c>
      <c r="H118" s="29">
        <f>SQRT(12.8^2 + 15.4^2 + 11.7^2 + 12.2^2 + 14^2 + 14.3^2)</f>
        <v>32.973019273339226</v>
      </c>
      <c r="I118" s="22">
        <v>10.6</v>
      </c>
      <c r="J118" s="65">
        <v>0.77419354838709675</v>
      </c>
      <c r="K118" s="70">
        <f t="shared" si="21"/>
        <v>820.64840210087539</v>
      </c>
      <c r="L118" s="70">
        <f t="shared" si="22"/>
        <v>341.52411303325323</v>
      </c>
      <c r="M118" s="70">
        <f t="shared" si="18"/>
        <v>281.11790907599999</v>
      </c>
      <c r="N118" s="68">
        <f t="shared" si="19"/>
        <v>173.98014254060726</v>
      </c>
      <c r="O118" s="69">
        <f t="shared" si="23"/>
        <v>454.14091261935476</v>
      </c>
      <c r="P118" s="69">
        <f t="shared" si="24"/>
        <v>498.75200423225806</v>
      </c>
      <c r="Q118" s="69">
        <f t="shared" si="25"/>
        <v>482.69918099264936</v>
      </c>
      <c r="R118" s="69">
        <f t="shared" si="20"/>
        <v>733.59362743466488</v>
      </c>
    </row>
    <row r="119" spans="1:18" x14ac:dyDescent="0.3">
      <c r="A119" s="58" t="s">
        <v>75</v>
      </c>
      <c r="B119" s="19" t="s">
        <v>26</v>
      </c>
      <c r="C119" s="22">
        <v>1</v>
      </c>
      <c r="D119" s="22">
        <v>2</v>
      </c>
      <c r="E119" s="22">
        <v>2</v>
      </c>
      <c r="F119" s="22">
        <v>1357</v>
      </c>
      <c r="G119" s="19" t="s">
        <v>21</v>
      </c>
      <c r="H119" s="29">
        <f>SQRT(17^2+22.3^2)</f>
        <v>28.040863039500049</v>
      </c>
      <c r="I119" s="22">
        <v>10.6</v>
      </c>
      <c r="J119" s="65">
        <v>0.70508474576271185</v>
      </c>
      <c r="K119" s="70">
        <f t="shared" si="21"/>
        <v>544.66285394282977</v>
      </c>
      <c r="L119" s="70">
        <f t="shared" si="22"/>
        <v>229.87350039465781</v>
      </c>
      <c r="M119" s="70">
        <f t="shared" si="18"/>
        <v>203.307702882</v>
      </c>
      <c r="N119" s="68">
        <f t="shared" si="19"/>
        <v>149.39610058097563</v>
      </c>
      <c r="O119" s="69">
        <f t="shared" si="23"/>
        <v>299.12156126372878</v>
      </c>
      <c r="P119" s="69">
        <f t="shared" si="24"/>
        <v>328.50481875525418</v>
      </c>
      <c r="Q119" s="69">
        <f t="shared" si="25"/>
        <v>321.13369942874283</v>
      </c>
      <c r="R119" s="69">
        <f t="shared" si="20"/>
        <v>471.24352896407055</v>
      </c>
    </row>
    <row r="120" spans="1:18" x14ac:dyDescent="0.3">
      <c r="A120" s="58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19" t="s">
        <v>21</v>
      </c>
      <c r="H120" s="22">
        <v>10.8</v>
      </c>
      <c r="I120" s="22">
        <v>11.9</v>
      </c>
      <c r="J120" s="65">
        <v>0.79661016949152541</v>
      </c>
      <c r="K120" s="70">
        <f t="shared" si="21"/>
        <v>48.72789795466781</v>
      </c>
      <c r="L120" s="70">
        <f t="shared" si="22"/>
        <v>23.459757883099737</v>
      </c>
      <c r="M120" s="70">
        <f t="shared" si="18"/>
        <v>33.857874288000012</v>
      </c>
      <c r="N120" s="68">
        <f t="shared" si="19"/>
        <v>72.404520854523639</v>
      </c>
      <c r="O120" s="69">
        <f t="shared" si="23"/>
        <v>56.28051994576272</v>
      </c>
      <c r="P120" s="69">
        <f t="shared" si="24"/>
        <v>61.809058250847464</v>
      </c>
      <c r="Q120" s="69">
        <f t="shared" si="25"/>
        <v>62.893826058894199</v>
      </c>
      <c r="R120" s="69">
        <f t="shared" si="20"/>
        <v>74.661647430156137</v>
      </c>
    </row>
    <row r="121" spans="1:18" x14ac:dyDescent="0.3">
      <c r="A121" s="58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19" t="s">
        <v>21</v>
      </c>
      <c r="H121" s="22">
        <v>21.3</v>
      </c>
      <c r="I121" s="22">
        <v>17.899999999999999</v>
      </c>
      <c r="J121" s="65">
        <v>0.75510204081632648</v>
      </c>
      <c r="K121" s="70">
        <f t="shared" si="21"/>
        <v>271.65391748539332</v>
      </c>
      <c r="L121" s="70">
        <f t="shared" si="22"/>
        <v>146.5928783098862</v>
      </c>
      <c r="M121" s="70">
        <f t="shared" si="18"/>
        <v>198.09679704300001</v>
      </c>
      <c r="N121" s="68">
        <f t="shared" si="19"/>
        <v>252.25778718838637</v>
      </c>
      <c r="O121" s="69">
        <f t="shared" si="23"/>
        <v>312.13010914897956</v>
      </c>
      <c r="P121" s="69">
        <f t="shared" si="24"/>
        <v>342.7912200673469</v>
      </c>
      <c r="Q121" s="69">
        <f t="shared" si="25"/>
        <v>334.75734669186596</v>
      </c>
      <c r="R121" s="69">
        <f t="shared" si="20"/>
        <v>339.39760515110208</v>
      </c>
    </row>
    <row r="122" spans="1:18" x14ac:dyDescent="0.3">
      <c r="A122" s="58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19" t="s">
        <v>21</v>
      </c>
      <c r="H122" s="22">
        <v>11.9</v>
      </c>
      <c r="I122" s="22">
        <v>13.4</v>
      </c>
      <c r="J122" s="65">
        <v>0.75838926174496646</v>
      </c>
      <c r="K122" s="70">
        <f t="shared" si="21"/>
        <v>62.280112436143334</v>
      </c>
      <c r="L122" s="70">
        <f t="shared" si="22"/>
        <v>31.266949802560418</v>
      </c>
      <c r="M122" s="70">
        <f t="shared" si="18"/>
        <v>46.287522582000008</v>
      </c>
      <c r="N122" s="68">
        <f t="shared" si="19"/>
        <v>94.701696089932511</v>
      </c>
      <c r="O122" s="69">
        <f t="shared" si="23"/>
        <v>73.250177018791945</v>
      </c>
      <c r="P122" s="69">
        <f t="shared" si="24"/>
        <v>80.445675743624165</v>
      </c>
      <c r="Q122" s="69">
        <f t="shared" si="25"/>
        <v>81.341425469080789</v>
      </c>
      <c r="R122" s="69">
        <f t="shared" si="20"/>
        <v>90.470979779618958</v>
      </c>
    </row>
    <row r="123" spans="1:18" x14ac:dyDescent="0.3">
      <c r="A123" s="58" t="s">
        <v>76</v>
      </c>
      <c r="B123" s="19" t="s">
        <v>38</v>
      </c>
      <c r="C123" s="22">
        <v>2</v>
      </c>
      <c r="D123" s="22">
        <v>1</v>
      </c>
      <c r="E123" s="22">
        <v>1</v>
      </c>
      <c r="F123" s="22">
        <v>242</v>
      </c>
      <c r="G123" s="19" t="s">
        <v>21</v>
      </c>
      <c r="H123" s="22">
        <v>11</v>
      </c>
      <c r="I123" s="22">
        <v>9</v>
      </c>
      <c r="J123" s="65">
        <v>0.67080745341614911</v>
      </c>
      <c r="K123" s="70">
        <f t="shared" si="21"/>
        <v>51.043338183515544</v>
      </c>
      <c r="L123" s="70">
        <f t="shared" si="22"/>
        <v>21.797648714839099</v>
      </c>
      <c r="M123" s="70">
        <f t="shared" si="18"/>
        <v>26.563977000000001</v>
      </c>
      <c r="N123" s="68">
        <f t="shared" si="19"/>
        <v>48.542699145954231</v>
      </c>
      <c r="O123" s="69">
        <f t="shared" si="23"/>
        <v>37.182924223602484</v>
      </c>
      <c r="P123" s="69">
        <f t="shared" si="24"/>
        <v>40.835470807453419</v>
      </c>
      <c r="Q123" s="69">
        <f t="shared" si="25"/>
        <v>41.967568234387777</v>
      </c>
      <c r="R123" s="69">
        <f t="shared" si="20"/>
        <v>58.650623882365572</v>
      </c>
    </row>
    <row r="124" spans="1:18" x14ac:dyDescent="0.3">
      <c r="A124" s="58" t="s">
        <v>76</v>
      </c>
      <c r="B124" s="19" t="s">
        <v>38</v>
      </c>
      <c r="C124" s="22">
        <v>2</v>
      </c>
      <c r="D124" s="22">
        <v>1</v>
      </c>
      <c r="E124" s="22">
        <v>2</v>
      </c>
      <c r="F124" s="22">
        <v>254</v>
      </c>
      <c r="G124" s="19" t="s">
        <v>21</v>
      </c>
      <c r="H124" s="22">
        <v>11.5</v>
      </c>
      <c r="I124" s="22">
        <v>13.4</v>
      </c>
      <c r="J124" s="65">
        <v>0.73529411764705888</v>
      </c>
      <c r="K124" s="70">
        <f t="shared" si="21"/>
        <v>57.119067892186884</v>
      </c>
      <c r="L124" s="70">
        <f t="shared" si="22"/>
        <v>28.760989756863481</v>
      </c>
      <c r="M124" s="70">
        <f t="shared" si="18"/>
        <v>43.228054950000008</v>
      </c>
      <c r="N124" s="68">
        <f t="shared" si="19"/>
        <v>91.705713182981071</v>
      </c>
      <c r="O124" s="69">
        <f t="shared" si="23"/>
        <v>66.325319852941192</v>
      </c>
      <c r="P124" s="69">
        <f t="shared" si="24"/>
        <v>72.840577205882354</v>
      </c>
      <c r="Q124" s="69">
        <f t="shared" si="25"/>
        <v>73.827397145167581</v>
      </c>
      <c r="R124" s="69">
        <f t="shared" si="20"/>
        <v>81.416489268982119</v>
      </c>
    </row>
    <row r="125" spans="1:18" x14ac:dyDescent="0.3">
      <c r="A125" s="58" t="s">
        <v>76</v>
      </c>
      <c r="B125" s="19" t="s">
        <v>24</v>
      </c>
      <c r="C125" s="22">
        <v>2</v>
      </c>
      <c r="D125" s="22">
        <v>3</v>
      </c>
      <c r="E125" s="22">
        <v>1</v>
      </c>
      <c r="F125" s="22">
        <v>677</v>
      </c>
      <c r="G125" s="19" t="s">
        <v>21</v>
      </c>
      <c r="H125" s="22">
        <v>10.5</v>
      </c>
      <c r="I125" s="22">
        <v>4.9000000000000004</v>
      </c>
      <c r="J125" s="65">
        <v>0.77319587628865982</v>
      </c>
      <c r="K125" s="70">
        <f t="shared" si="21"/>
        <v>45.375821659690011</v>
      </c>
      <c r="L125" s="70">
        <f t="shared" si="22"/>
        <v>15.03816996843894</v>
      </c>
      <c r="M125" s="70">
        <f t="shared" si="18"/>
        <v>13.177708425000001</v>
      </c>
      <c r="N125" s="68">
        <f t="shared" si="19"/>
        <v>18.743423170454584</v>
      </c>
      <c r="O125" s="69">
        <f t="shared" si="23"/>
        <v>21.260916881443304</v>
      </c>
      <c r="P125" s="69">
        <f t="shared" si="24"/>
        <v>23.349415592783505</v>
      </c>
      <c r="Q125" s="69">
        <f t="shared" si="25"/>
        <v>24.320837754272034</v>
      </c>
      <c r="R125" s="69">
        <f t="shared" si="20"/>
        <v>50.385968663590184</v>
      </c>
    </row>
    <row r="126" spans="1:18" x14ac:dyDescent="0.3">
      <c r="A126" s="58" t="s">
        <v>77</v>
      </c>
      <c r="B126" s="7" t="s">
        <v>30</v>
      </c>
      <c r="C126" s="16">
        <v>1</v>
      </c>
      <c r="D126" s="16">
        <v>1</v>
      </c>
      <c r="E126" s="16">
        <v>2</v>
      </c>
      <c r="F126" s="16">
        <v>1314</v>
      </c>
      <c r="G126" s="7" t="s">
        <v>21</v>
      </c>
      <c r="H126" s="21">
        <v>16.5</v>
      </c>
      <c r="I126" s="16">
        <v>15.3</v>
      </c>
      <c r="J126" s="52">
        <v>0.75735244099999999</v>
      </c>
      <c r="K126" s="70">
        <f t="shared" si="21"/>
        <v>142.38031665600735</v>
      </c>
      <c r="L126" s="70">
        <f t="shared" si="22"/>
        <v>73.499080795266934</v>
      </c>
      <c r="M126" s="70">
        <f t="shared" si="18"/>
        <v>101.60721202500001</v>
      </c>
      <c r="N126" s="68">
        <f t="shared" si="19"/>
        <v>156.96345458332061</v>
      </c>
      <c r="O126" s="69">
        <f t="shared" si="23"/>
        <v>160.57396489001843</v>
      </c>
      <c r="P126" s="69">
        <f t="shared" si="24"/>
        <v>176.34743884778055</v>
      </c>
      <c r="Q126" s="69">
        <f t="shared" si="25"/>
        <v>174.98363603353306</v>
      </c>
      <c r="R126" s="69">
        <f t="shared" si="20"/>
        <v>188.33710380350232</v>
      </c>
    </row>
    <row r="127" spans="1:18" x14ac:dyDescent="0.3">
      <c r="A127" s="58" t="s">
        <v>77</v>
      </c>
      <c r="B127" s="7" t="s">
        <v>30</v>
      </c>
      <c r="C127" s="16">
        <v>1</v>
      </c>
      <c r="D127" s="16">
        <v>1</v>
      </c>
      <c r="E127" s="16">
        <v>1</v>
      </c>
      <c r="F127" s="16">
        <v>1306</v>
      </c>
      <c r="G127" s="7" t="s">
        <v>21</v>
      </c>
      <c r="H127" s="21">
        <v>24.6</v>
      </c>
      <c r="I127" s="16">
        <v>17.5</v>
      </c>
      <c r="J127" s="52">
        <v>0.65525423699999996</v>
      </c>
      <c r="K127" s="70">
        <f t="shared" si="21"/>
        <v>391.09421914374781</v>
      </c>
      <c r="L127" s="70">
        <f t="shared" si="22"/>
        <v>206.4432042633467</v>
      </c>
      <c r="M127" s="70">
        <f t="shared" si="18"/>
        <v>258.32918790000002</v>
      </c>
      <c r="N127" s="68">
        <f t="shared" si="19"/>
        <v>279.25712743219509</v>
      </c>
      <c r="O127" s="69">
        <f t="shared" si="23"/>
        <v>353.21235235654598</v>
      </c>
      <c r="P127" s="69">
        <f t="shared" si="24"/>
        <v>387.90904708705153</v>
      </c>
      <c r="Q127" s="69">
        <f t="shared" si="25"/>
        <v>377.69525652615175</v>
      </c>
      <c r="R127" s="69">
        <f t="shared" si="20"/>
        <v>391.76452658691107</v>
      </c>
    </row>
    <row r="128" spans="1:18" x14ac:dyDescent="0.3">
      <c r="A128" s="58" t="s">
        <v>77</v>
      </c>
      <c r="B128" s="7" t="s">
        <v>20</v>
      </c>
      <c r="C128" s="16">
        <v>1</v>
      </c>
      <c r="D128" s="16">
        <v>2</v>
      </c>
      <c r="E128" s="16">
        <v>2</v>
      </c>
      <c r="F128" s="16">
        <v>7469</v>
      </c>
      <c r="G128" s="7" t="s">
        <v>21</v>
      </c>
      <c r="H128" s="21">
        <v>28.6</v>
      </c>
      <c r="I128" s="16">
        <v>20.2</v>
      </c>
      <c r="J128" s="52">
        <v>0.74020527800000002</v>
      </c>
      <c r="K128" s="70">
        <f t="shared" si="21"/>
        <v>572.56083746634545</v>
      </c>
      <c r="L128" s="70">
        <f t="shared" si="22"/>
        <v>317.00614746405529</v>
      </c>
      <c r="M128" s="70">
        <f t="shared" si="18"/>
        <v>403.04046525600006</v>
      </c>
      <c r="N128" s="68">
        <f t="shared" si="19"/>
        <v>398.63085541186723</v>
      </c>
      <c r="O128" s="69">
        <f t="shared" si="23"/>
        <v>622.5201243459353</v>
      </c>
      <c r="P128" s="69">
        <f t="shared" si="24"/>
        <v>683.67141357441619</v>
      </c>
      <c r="Q128" s="69">
        <f t="shared" si="25"/>
        <v>656.67763088313222</v>
      </c>
      <c r="R128" s="69">
        <f t="shared" si="20"/>
        <v>644.59924393682184</v>
      </c>
    </row>
    <row r="129" spans="1:18" x14ac:dyDescent="0.3">
      <c r="A129" s="58" t="s">
        <v>77</v>
      </c>
      <c r="B129" s="7" t="s">
        <v>26</v>
      </c>
      <c r="C129" s="16">
        <v>2</v>
      </c>
      <c r="D129" s="16">
        <v>3</v>
      </c>
      <c r="E129" s="16">
        <v>1</v>
      </c>
      <c r="F129" s="16">
        <v>651</v>
      </c>
      <c r="G129" s="7" t="s">
        <v>21</v>
      </c>
      <c r="H129" s="21">
        <v>11.8</v>
      </c>
      <c r="I129" s="16">
        <v>9.5</v>
      </c>
      <c r="J129" s="52">
        <v>0.70946454000000003</v>
      </c>
      <c r="K129" s="70">
        <f t="shared" si="21"/>
        <v>60.964505308279705</v>
      </c>
      <c r="L129" s="70">
        <f t="shared" si="22"/>
        <v>26.476011234385098</v>
      </c>
      <c r="M129" s="70">
        <f t="shared" si="18"/>
        <v>32.266572540000006</v>
      </c>
      <c r="N129" s="68">
        <f t="shared" si="19"/>
        <v>56.215086609727123</v>
      </c>
      <c r="O129" s="69">
        <f t="shared" si="23"/>
        <v>47.767894164859086</v>
      </c>
      <c r="P129" s="69">
        <f t="shared" si="24"/>
        <v>52.460221685965081</v>
      </c>
      <c r="Q129" s="69">
        <f t="shared" si="25"/>
        <v>53.591429095261901</v>
      </c>
      <c r="R129" s="69">
        <f t="shared" si="20"/>
        <v>73.585987010627235</v>
      </c>
    </row>
    <row r="130" spans="1:18" x14ac:dyDescent="0.3">
      <c r="A130" s="58" t="s">
        <v>77</v>
      </c>
      <c r="B130" s="7" t="s">
        <v>20</v>
      </c>
      <c r="C130" s="16">
        <v>2</v>
      </c>
      <c r="D130" s="16">
        <v>3</v>
      </c>
      <c r="E130" s="16">
        <v>1</v>
      </c>
      <c r="F130" s="16">
        <v>714</v>
      </c>
      <c r="G130" s="7" t="s">
        <v>21</v>
      </c>
      <c r="H130" s="21">
        <v>32.700000000000003</v>
      </c>
      <c r="I130" s="16">
        <v>11.9</v>
      </c>
      <c r="J130" s="52">
        <v>0.67114569800000001</v>
      </c>
      <c r="K130" s="70">
        <f t="shared" ref="K130:K161" si="26" xml:space="preserve"> EXP(-2.134 + 2.53*LN(H130))</f>
        <v>803.56569838652558</v>
      </c>
      <c r="L130" s="70">
        <f t="shared" ref="L130:L161" si="27">(0.02453 *(H130^2.443356)*(I130^0.423602))</f>
        <v>351.46390570298178</v>
      </c>
      <c r="M130" s="70">
        <f t="shared" si="18"/>
        <v>310.38997254300011</v>
      </c>
      <c r="N130" s="68">
        <f t="shared" si="19"/>
        <v>205.17555869038333</v>
      </c>
      <c r="O130" s="69">
        <f t="shared" ref="O130:O161" si="28" xml:space="preserve"> 0.0509*J130*H130^2*I130</f>
        <v>434.68740802794849</v>
      </c>
      <c r="P130" s="69">
        <f t="shared" ref="P130:P161" si="29">((0.0559)*((J130*H130^2*I130)))</f>
        <v>477.38754634110649</v>
      </c>
      <c r="Q130" s="69">
        <f t="shared" ref="Q130:Q161" si="30">((0.0673)*((J130*H130^2*I130)^0.976))</f>
        <v>462.50807442063626</v>
      </c>
      <c r="R130" s="69">
        <f t="shared" si="20"/>
        <v>642.84923476199901</v>
      </c>
    </row>
    <row r="131" spans="1:18" x14ac:dyDescent="0.3">
      <c r="A131" s="58" t="s">
        <v>77</v>
      </c>
      <c r="B131" s="7" t="s">
        <v>44</v>
      </c>
      <c r="C131" s="16">
        <v>2</v>
      </c>
      <c r="D131" s="16">
        <v>2</v>
      </c>
      <c r="E131" s="16">
        <v>1</v>
      </c>
      <c r="F131" s="16">
        <v>359</v>
      </c>
      <c r="G131" s="7" t="s">
        <v>21</v>
      </c>
      <c r="H131" s="21">
        <v>38.6</v>
      </c>
      <c r="I131" s="16">
        <v>19.8</v>
      </c>
      <c r="J131" s="52">
        <v>0.69286545499999996</v>
      </c>
      <c r="K131" s="70">
        <f t="shared" si="26"/>
        <v>1222.5917375460801</v>
      </c>
      <c r="L131" s="70">
        <f t="shared" si="27"/>
        <v>653.98099322685073</v>
      </c>
      <c r="M131" s="70">
        <f t="shared" ref="M131:M179" si="31">0.024393*((H131^2)*I131)</f>
        <v>719.62296674400011</v>
      </c>
      <c r="N131" s="68">
        <f t="shared" ref="N131:N179" si="32">10^(-0.717903255+0.940214879*LOG(H131)+1.345432588*LOG(I131)*1.109844005)</f>
        <v>512.9045002617778</v>
      </c>
      <c r="O131" s="69">
        <f t="shared" si="28"/>
        <v>1040.4147263120547</v>
      </c>
      <c r="P131" s="69">
        <f t="shared" si="29"/>
        <v>1142.6165658319028</v>
      </c>
      <c r="Q131" s="69">
        <f t="shared" si="30"/>
        <v>1084.0568139281822</v>
      </c>
      <c r="R131" s="69">
        <f t="shared" ref="R131:R179" si="33">EXP(-1.305+1.055*LN(H131^2)+0.34*LN(I131)+1.077*LN(J131))</f>
        <v>1122.5093143692143</v>
      </c>
    </row>
    <row r="132" spans="1:18" x14ac:dyDescent="0.3">
      <c r="A132" s="58" t="s">
        <v>78</v>
      </c>
      <c r="B132" s="7" t="s">
        <v>38</v>
      </c>
      <c r="C132" s="16">
        <v>1</v>
      </c>
      <c r="D132" s="16">
        <v>1</v>
      </c>
      <c r="E132" s="16"/>
      <c r="F132" s="16">
        <v>337</v>
      </c>
      <c r="G132" s="19" t="s">
        <v>21</v>
      </c>
      <c r="H132" s="21">
        <v>46.2</v>
      </c>
      <c r="I132" s="16">
        <v>20.5</v>
      </c>
      <c r="J132" s="52">
        <v>0.34851888800000003</v>
      </c>
      <c r="K132" s="70">
        <f t="shared" si="26"/>
        <v>1926.4590143327539</v>
      </c>
      <c r="L132" s="70">
        <f t="shared" si="27"/>
        <v>1029.6083739389062</v>
      </c>
      <c r="M132" s="70">
        <f t="shared" si="31"/>
        <v>1067.3405958600001</v>
      </c>
      <c r="N132" s="68">
        <f t="shared" si="32"/>
        <v>639.66911453192836</v>
      </c>
      <c r="O132" s="69">
        <f t="shared" si="28"/>
        <v>776.21479117562319</v>
      </c>
      <c r="P132" s="69">
        <f t="shared" si="29"/>
        <v>852.46378834415202</v>
      </c>
      <c r="Q132" s="69">
        <f t="shared" si="30"/>
        <v>814.48081106697123</v>
      </c>
      <c r="R132" s="69">
        <f t="shared" si="33"/>
        <v>791.79786903099875</v>
      </c>
    </row>
    <row r="133" spans="1:18" x14ac:dyDescent="0.3">
      <c r="A133" s="58" t="s">
        <v>78</v>
      </c>
      <c r="B133" s="7" t="s">
        <v>30</v>
      </c>
      <c r="C133" s="16">
        <v>1</v>
      </c>
      <c r="D133" s="16">
        <v>1</v>
      </c>
      <c r="E133" s="16"/>
      <c r="F133" s="16">
        <v>192</v>
      </c>
      <c r="G133" s="19" t="s">
        <v>21</v>
      </c>
      <c r="H133" s="21">
        <v>29.5</v>
      </c>
      <c r="I133" s="16">
        <v>21.3</v>
      </c>
      <c r="J133" s="52">
        <v>0.39513025550000003</v>
      </c>
      <c r="K133" s="70">
        <f t="shared" si="26"/>
        <v>619.24894597258606</v>
      </c>
      <c r="L133" s="70">
        <f t="shared" si="27"/>
        <v>349.70371555523764</v>
      </c>
      <c r="M133" s="70">
        <f t="shared" si="31"/>
        <v>452.15657572500004</v>
      </c>
      <c r="N133" s="68">
        <f t="shared" si="32"/>
        <v>444.23078649597579</v>
      </c>
      <c r="O133" s="69">
        <f t="shared" si="28"/>
        <v>372.80497821400485</v>
      </c>
      <c r="P133" s="69">
        <f t="shared" si="29"/>
        <v>409.42629238041008</v>
      </c>
      <c r="Q133" s="69">
        <f t="shared" si="30"/>
        <v>398.12976800021079</v>
      </c>
      <c r="R133" s="69">
        <f t="shared" si="33"/>
        <v>356.37604784308274</v>
      </c>
    </row>
    <row r="134" spans="1:18" x14ac:dyDescent="0.3">
      <c r="A134" s="58" t="s">
        <v>78</v>
      </c>
      <c r="B134" s="7" t="s">
        <v>30</v>
      </c>
      <c r="C134" s="16">
        <v>1</v>
      </c>
      <c r="D134" s="16">
        <v>1</v>
      </c>
      <c r="E134" s="16"/>
      <c r="F134" s="16">
        <v>217</v>
      </c>
      <c r="G134" s="19" t="s">
        <v>21</v>
      </c>
      <c r="H134" s="21">
        <v>20.7</v>
      </c>
      <c r="I134" s="16">
        <v>11.7</v>
      </c>
      <c r="J134" s="52">
        <v>0.36545761399999999</v>
      </c>
      <c r="K134" s="70">
        <f t="shared" si="26"/>
        <v>252.70890714773958</v>
      </c>
      <c r="L134" s="70">
        <f t="shared" si="27"/>
        <v>114.17401012337645</v>
      </c>
      <c r="M134" s="70">
        <f t="shared" si="31"/>
        <v>122.29023186899998</v>
      </c>
      <c r="N134" s="68">
        <f t="shared" si="32"/>
        <v>130.14528788855191</v>
      </c>
      <c r="O134" s="69">
        <f t="shared" si="28"/>
        <v>93.256980463103801</v>
      </c>
      <c r="P134" s="69">
        <f t="shared" si="29"/>
        <v>102.4177840449411</v>
      </c>
      <c r="Q134" s="69">
        <f t="shared" si="30"/>
        <v>102.95975625215505</v>
      </c>
      <c r="R134" s="69">
        <f t="shared" si="33"/>
        <v>126.56155076276887</v>
      </c>
    </row>
    <row r="135" spans="1:18" x14ac:dyDescent="0.3">
      <c r="A135" s="58" t="s">
        <v>78</v>
      </c>
      <c r="B135" s="19" t="s">
        <v>38</v>
      </c>
      <c r="C135" s="22">
        <v>2</v>
      </c>
      <c r="D135" s="22">
        <v>3</v>
      </c>
      <c r="E135" s="22">
        <v>1</v>
      </c>
      <c r="F135" s="22">
        <v>615</v>
      </c>
      <c r="G135" s="19" t="s">
        <v>21</v>
      </c>
      <c r="H135" s="21">
        <v>35</v>
      </c>
      <c r="I135" s="16">
        <v>16.600000000000001</v>
      </c>
      <c r="J135" s="52">
        <v>0.44823586999999998</v>
      </c>
      <c r="K135" s="70">
        <f t="shared" si="26"/>
        <v>954.35010983835559</v>
      </c>
      <c r="L135" s="70">
        <f t="shared" si="27"/>
        <v>477.79950456275907</v>
      </c>
      <c r="M135" s="70">
        <f t="shared" si="31"/>
        <v>496.03165500000006</v>
      </c>
      <c r="N135" s="68">
        <f t="shared" si="32"/>
        <v>359.53622144956159</v>
      </c>
      <c r="O135" s="69">
        <f t="shared" si="28"/>
        <v>463.94720959730506</v>
      </c>
      <c r="P135" s="69">
        <f t="shared" si="29"/>
        <v>509.521591679555</v>
      </c>
      <c r="Q135" s="69">
        <f t="shared" si="30"/>
        <v>492.86937097590055</v>
      </c>
      <c r="R135" s="69">
        <f t="shared" si="33"/>
        <v>537.94594895406692</v>
      </c>
    </row>
    <row r="136" spans="1:18" x14ac:dyDescent="0.3">
      <c r="A136" s="58" t="s">
        <v>78</v>
      </c>
      <c r="B136" s="7" t="s">
        <v>38</v>
      </c>
      <c r="C136" s="16">
        <v>2</v>
      </c>
      <c r="D136" s="16">
        <v>3</v>
      </c>
      <c r="E136" s="16"/>
      <c r="F136" s="16">
        <v>353</v>
      </c>
      <c r="G136" s="19" t="s">
        <v>21</v>
      </c>
      <c r="H136" s="21">
        <v>26.9</v>
      </c>
      <c r="I136" s="16">
        <v>16.100000000000001</v>
      </c>
      <c r="J136" s="52">
        <v>0.3787728655</v>
      </c>
      <c r="K136" s="70">
        <f t="shared" si="26"/>
        <v>490.33042722669046</v>
      </c>
      <c r="L136" s="70">
        <f t="shared" si="27"/>
        <v>247.91637598233569</v>
      </c>
      <c r="M136" s="70">
        <f t="shared" si="31"/>
        <v>284.181401553</v>
      </c>
      <c r="N136" s="68">
        <f t="shared" si="32"/>
        <v>268.18099567729178</v>
      </c>
      <c r="O136" s="69">
        <f t="shared" si="28"/>
        <v>224.60896047271882</v>
      </c>
      <c r="P136" s="69">
        <f t="shared" si="29"/>
        <v>246.67270904567741</v>
      </c>
      <c r="Q136" s="69">
        <f t="shared" si="30"/>
        <v>242.80148391391114</v>
      </c>
      <c r="R136" s="69">
        <f t="shared" si="33"/>
        <v>254.83427594105876</v>
      </c>
    </row>
    <row r="137" spans="1:18" x14ac:dyDescent="0.3">
      <c r="A137" s="58" t="s">
        <v>79</v>
      </c>
      <c r="B137" s="7" t="s">
        <v>24</v>
      </c>
      <c r="C137" s="16">
        <v>1</v>
      </c>
      <c r="D137" s="16">
        <v>1</v>
      </c>
      <c r="E137" s="16">
        <v>1</v>
      </c>
      <c r="F137" s="16">
        <v>1672</v>
      </c>
      <c r="G137" s="7" t="s">
        <v>21</v>
      </c>
      <c r="H137" s="21">
        <v>12.4</v>
      </c>
      <c r="I137" s="16">
        <v>11.2</v>
      </c>
      <c r="J137" s="52">
        <v>0.77426842799999995</v>
      </c>
      <c r="K137" s="70">
        <f t="shared" si="26"/>
        <v>69.115020167033279</v>
      </c>
      <c r="L137" s="70">
        <f t="shared" si="27"/>
        <v>32.045484049176238</v>
      </c>
      <c r="M137" s="70">
        <f t="shared" si="31"/>
        <v>42.007478016000007</v>
      </c>
      <c r="N137" s="68">
        <f t="shared" si="32"/>
        <v>75.311574022789912</v>
      </c>
      <c r="O137" s="69">
        <f t="shared" si="28"/>
        <v>67.868886809968743</v>
      </c>
      <c r="P137" s="69">
        <f t="shared" si="29"/>
        <v>74.535771565368421</v>
      </c>
      <c r="Q137" s="69">
        <f t="shared" si="30"/>
        <v>75.503856946655816</v>
      </c>
      <c r="R137" s="69">
        <f t="shared" si="33"/>
        <v>94.937061332243715</v>
      </c>
    </row>
    <row r="138" spans="1:18" x14ac:dyDescent="0.3">
      <c r="A138" s="58" t="s">
        <v>79</v>
      </c>
      <c r="B138" s="7" t="s">
        <v>26</v>
      </c>
      <c r="C138" s="16">
        <v>1</v>
      </c>
      <c r="D138" s="16">
        <v>3</v>
      </c>
      <c r="E138" s="16">
        <v>1</v>
      </c>
      <c r="F138" s="16">
        <v>1203</v>
      </c>
      <c r="G138" s="7" t="s">
        <v>21</v>
      </c>
      <c r="H138" s="21">
        <v>16.399999999999999</v>
      </c>
      <c r="I138" s="16">
        <v>15.3</v>
      </c>
      <c r="J138" s="52">
        <v>0.747475</v>
      </c>
      <c r="K138" s="70">
        <f t="shared" si="26"/>
        <v>140.20726290139211</v>
      </c>
      <c r="L138" s="70">
        <f t="shared" si="27"/>
        <v>72.415446511971069</v>
      </c>
      <c r="M138" s="70">
        <f t="shared" si="31"/>
        <v>100.379341584</v>
      </c>
      <c r="N138" s="68">
        <f t="shared" si="32"/>
        <v>156.06887173848568</v>
      </c>
      <c r="O138" s="69">
        <f t="shared" si="28"/>
        <v>156.56460300252002</v>
      </c>
      <c r="P138" s="69">
        <f t="shared" si="29"/>
        <v>171.94423001652001</v>
      </c>
      <c r="Q138" s="69">
        <f t="shared" si="30"/>
        <v>170.71805093263515</v>
      </c>
      <c r="R138" s="69">
        <f t="shared" si="33"/>
        <v>183.32636299059052</v>
      </c>
    </row>
    <row r="139" spans="1:18" x14ac:dyDescent="0.3">
      <c r="A139" s="58" t="s">
        <v>79</v>
      </c>
      <c r="B139" s="7" t="s">
        <v>20</v>
      </c>
      <c r="C139" s="16">
        <v>1</v>
      </c>
      <c r="D139" s="16">
        <v>2</v>
      </c>
      <c r="E139" s="16">
        <v>2</v>
      </c>
      <c r="F139" s="16">
        <v>7465</v>
      </c>
      <c r="G139" s="7" t="s">
        <v>21</v>
      </c>
      <c r="H139" s="21">
        <v>28.1</v>
      </c>
      <c r="I139" s="16">
        <v>13.1</v>
      </c>
      <c r="J139" s="52">
        <v>0.75615252483599993</v>
      </c>
      <c r="K139" s="70">
        <f t="shared" si="26"/>
        <v>547.57368008803201</v>
      </c>
      <c r="L139" s="70">
        <f t="shared" si="27"/>
        <v>252.74419093530184</v>
      </c>
      <c r="M139" s="70">
        <f t="shared" si="31"/>
        <v>252.31853316300004</v>
      </c>
      <c r="N139" s="68">
        <f t="shared" si="32"/>
        <v>205.36392328584037</v>
      </c>
      <c r="O139" s="69">
        <f t="shared" si="28"/>
        <v>398.11736818056943</v>
      </c>
      <c r="P139" s="69">
        <f t="shared" si="29"/>
        <v>437.22516466196129</v>
      </c>
      <c r="Q139" s="69">
        <f t="shared" si="30"/>
        <v>424.49185943663838</v>
      </c>
      <c r="R139" s="69">
        <f t="shared" si="33"/>
        <v>548.46713308919868</v>
      </c>
    </row>
    <row r="140" spans="1:18" x14ac:dyDescent="0.3">
      <c r="A140" s="58" t="s">
        <v>79</v>
      </c>
      <c r="B140" s="7" t="s">
        <v>30</v>
      </c>
      <c r="C140" s="16">
        <v>2</v>
      </c>
      <c r="D140" s="16">
        <v>1</v>
      </c>
      <c r="E140" s="16">
        <v>2</v>
      </c>
      <c r="F140" s="16">
        <v>98</v>
      </c>
      <c r="G140" s="7" t="s">
        <v>21</v>
      </c>
      <c r="H140" s="21">
        <v>11.8</v>
      </c>
      <c r="I140" s="16">
        <v>16.5</v>
      </c>
      <c r="J140" s="52">
        <v>0.74150346499999997</v>
      </c>
      <c r="K140" s="70">
        <f t="shared" si="26"/>
        <v>60.964505308279705</v>
      </c>
      <c r="L140" s="70">
        <f t="shared" si="27"/>
        <v>33.451493763344914</v>
      </c>
      <c r="M140" s="70">
        <f t="shared" si="31"/>
        <v>56.041941780000002</v>
      </c>
      <c r="N140" s="68">
        <f t="shared" si="32"/>
        <v>128.19405563521292</v>
      </c>
      <c r="O140" s="69">
        <f t="shared" si="28"/>
        <v>86.71194463057401</v>
      </c>
      <c r="P140" s="69">
        <f t="shared" si="29"/>
        <v>95.229817384068511</v>
      </c>
      <c r="Q140" s="69">
        <f t="shared" si="30"/>
        <v>95.901089352373248</v>
      </c>
      <c r="R140" s="69">
        <f t="shared" si="33"/>
        <v>93.105037121132554</v>
      </c>
    </row>
    <row r="141" spans="1:18" x14ac:dyDescent="0.3">
      <c r="A141" s="58" t="s">
        <v>79</v>
      </c>
      <c r="B141" s="7" t="s">
        <v>26</v>
      </c>
      <c r="C141" s="16">
        <v>2</v>
      </c>
      <c r="D141" s="16">
        <v>3</v>
      </c>
      <c r="E141" s="16">
        <v>2</v>
      </c>
      <c r="F141" s="16">
        <v>668</v>
      </c>
      <c r="G141" s="7" t="s">
        <v>21</v>
      </c>
      <c r="H141" s="21">
        <v>13.9</v>
      </c>
      <c r="I141" s="16">
        <v>8.5</v>
      </c>
      <c r="J141" s="52">
        <v>0.77283480800000004</v>
      </c>
      <c r="K141" s="70">
        <f t="shared" si="26"/>
        <v>92.266281958862521</v>
      </c>
      <c r="L141" s="70">
        <f t="shared" si="27"/>
        <v>37.687153301887513</v>
      </c>
      <c r="M141" s="70">
        <f t="shared" si="31"/>
        <v>40.060258005000001</v>
      </c>
      <c r="N141" s="68">
        <f t="shared" si="32"/>
        <v>55.539691959815336</v>
      </c>
      <c r="O141" s="69">
        <f t="shared" si="28"/>
        <v>64.603044144204659</v>
      </c>
      <c r="P141" s="69">
        <f t="shared" si="29"/>
        <v>70.949119207486063</v>
      </c>
      <c r="Q141" s="69">
        <f t="shared" si="30"/>
        <v>71.955736017915456</v>
      </c>
      <c r="R141" s="69">
        <f t="shared" si="33"/>
        <v>109.76874844245815</v>
      </c>
    </row>
    <row r="142" spans="1:18" x14ac:dyDescent="0.3">
      <c r="A142" s="58" t="s">
        <v>79</v>
      </c>
      <c r="B142" s="7" t="s">
        <v>20</v>
      </c>
      <c r="C142" s="16">
        <v>2</v>
      </c>
      <c r="D142" s="16">
        <v>3</v>
      </c>
      <c r="E142" s="16">
        <v>2</v>
      </c>
      <c r="F142" s="16">
        <v>722</v>
      </c>
      <c r="G142" s="7" t="s">
        <v>21</v>
      </c>
      <c r="H142" s="21">
        <v>21.2</v>
      </c>
      <c r="I142" s="16">
        <v>14.9</v>
      </c>
      <c r="J142" s="52">
        <v>0.74427674977799996</v>
      </c>
      <c r="K142" s="70">
        <f t="shared" si="26"/>
        <v>268.43880929815509</v>
      </c>
      <c r="L142" s="70">
        <f t="shared" si="27"/>
        <v>134.08255643965143</v>
      </c>
      <c r="M142" s="70">
        <f t="shared" si="31"/>
        <v>163.35152980800001</v>
      </c>
      <c r="N142" s="68">
        <f t="shared" si="32"/>
        <v>190.96905463761658</v>
      </c>
      <c r="O142" s="69">
        <f t="shared" si="28"/>
        <v>253.69401692892234</v>
      </c>
      <c r="P142" s="69">
        <f t="shared" si="29"/>
        <v>278.61484373922906</v>
      </c>
      <c r="Q142" s="69">
        <f t="shared" si="30"/>
        <v>273.44204180539793</v>
      </c>
      <c r="R142" s="69">
        <f t="shared" si="33"/>
        <v>310.85345891272357</v>
      </c>
    </row>
    <row r="143" spans="1:18" x14ac:dyDescent="0.3">
      <c r="A143" s="58" t="s">
        <v>80</v>
      </c>
      <c r="B143" s="7" t="s">
        <v>30</v>
      </c>
      <c r="C143" s="16">
        <v>1</v>
      </c>
      <c r="D143" s="16">
        <v>3</v>
      </c>
      <c r="E143" s="16">
        <v>1</v>
      </c>
      <c r="F143" s="16">
        <v>1725</v>
      </c>
      <c r="G143" s="7" t="s">
        <v>21</v>
      </c>
      <c r="H143" s="21">
        <v>12.7</v>
      </c>
      <c r="I143" s="7">
        <v>12.6</v>
      </c>
      <c r="J143" s="52">
        <v>0.70464479867099994</v>
      </c>
      <c r="K143" s="70">
        <f t="shared" si="26"/>
        <v>73.424160491296121</v>
      </c>
      <c r="L143" s="70">
        <f t="shared" si="27"/>
        <v>35.711011886163419</v>
      </c>
      <c r="M143" s="70">
        <f t="shared" si="31"/>
        <v>49.572771822</v>
      </c>
      <c r="N143" s="68">
        <f t="shared" si="32"/>
        <v>91.834328245872172</v>
      </c>
      <c r="O143" s="69">
        <f t="shared" si="28"/>
        <v>72.889676023527201</v>
      </c>
      <c r="P143" s="69">
        <f t="shared" si="29"/>
        <v>80.049762076918881</v>
      </c>
      <c r="Q143" s="69">
        <f t="shared" si="30"/>
        <v>80.950687983819691</v>
      </c>
      <c r="R143" s="69">
        <f t="shared" si="33"/>
        <v>93.899114663633753</v>
      </c>
    </row>
    <row r="144" spans="1:18" x14ac:dyDescent="0.3">
      <c r="A144" s="58" t="s">
        <v>80</v>
      </c>
      <c r="B144" s="7" t="s">
        <v>20</v>
      </c>
      <c r="C144" s="16">
        <v>1</v>
      </c>
      <c r="D144" s="16">
        <v>2</v>
      </c>
      <c r="E144" s="16">
        <v>2</v>
      </c>
      <c r="F144" s="16">
        <v>7464</v>
      </c>
      <c r="G144" s="7" t="s">
        <v>21</v>
      </c>
      <c r="H144" s="21">
        <v>36</v>
      </c>
      <c r="I144" s="7">
        <v>19.399999999999999</v>
      </c>
      <c r="J144" s="52">
        <v>0.69239288301599988</v>
      </c>
      <c r="K144" s="70">
        <f t="shared" si="26"/>
        <v>1024.8514090609008</v>
      </c>
      <c r="L144" s="70">
        <f t="shared" si="27"/>
        <v>546.78172360397923</v>
      </c>
      <c r="M144" s="70">
        <f t="shared" si="31"/>
        <v>613.29856319999999</v>
      </c>
      <c r="N144" s="68">
        <f t="shared" si="32"/>
        <v>465.9369876225266</v>
      </c>
      <c r="O144" s="69">
        <f t="shared" si="28"/>
        <v>886.08851803682103</v>
      </c>
      <c r="P144" s="69">
        <f t="shared" si="29"/>
        <v>973.13061214652851</v>
      </c>
      <c r="Q144" s="69">
        <f t="shared" si="30"/>
        <v>926.8216434763774</v>
      </c>
      <c r="R144" s="69">
        <f t="shared" si="33"/>
        <v>961.5155471711131</v>
      </c>
    </row>
    <row r="145" spans="1:18" x14ac:dyDescent="0.3">
      <c r="A145" s="58" t="s">
        <v>80</v>
      </c>
      <c r="B145" s="7" t="s">
        <v>20</v>
      </c>
      <c r="C145" s="16">
        <v>1</v>
      </c>
      <c r="D145" s="16">
        <v>3</v>
      </c>
      <c r="E145" s="16">
        <v>1</v>
      </c>
      <c r="F145" s="16">
        <v>3236</v>
      </c>
      <c r="G145" s="7" t="s">
        <v>21</v>
      </c>
      <c r="H145" s="21">
        <v>22.6</v>
      </c>
      <c r="I145" s="7">
        <v>22.5</v>
      </c>
      <c r="J145" s="52">
        <v>0.69081379869600001</v>
      </c>
      <c r="K145" s="70">
        <f t="shared" si="26"/>
        <v>315.58033049966701</v>
      </c>
      <c r="L145" s="70">
        <f t="shared" si="27"/>
        <v>186.66106814011201</v>
      </c>
      <c r="M145" s="70">
        <f t="shared" si="31"/>
        <v>280.32679530000001</v>
      </c>
      <c r="N145" s="68">
        <f t="shared" si="32"/>
        <v>375.28051998515804</v>
      </c>
      <c r="O145" s="69">
        <f t="shared" si="28"/>
        <v>404.09007393011007</v>
      </c>
      <c r="P145" s="69">
        <f t="shared" si="29"/>
        <v>443.78458021008146</v>
      </c>
      <c r="Q145" s="69">
        <f t="shared" si="30"/>
        <v>430.70629062858717</v>
      </c>
      <c r="R145" s="69">
        <f t="shared" si="33"/>
        <v>377.70120030949914</v>
      </c>
    </row>
    <row r="146" spans="1:18" x14ac:dyDescent="0.3">
      <c r="A146" s="58" t="s">
        <v>80</v>
      </c>
      <c r="B146" s="7" t="s">
        <v>30</v>
      </c>
      <c r="C146" s="16">
        <v>2</v>
      </c>
      <c r="D146" s="16">
        <v>1</v>
      </c>
      <c r="E146" s="16">
        <v>1</v>
      </c>
      <c r="F146" s="16">
        <v>77</v>
      </c>
      <c r="G146" s="7" t="s">
        <v>21</v>
      </c>
      <c r="H146" s="21">
        <v>33.200000000000003</v>
      </c>
      <c r="I146" s="7">
        <v>22.3</v>
      </c>
      <c r="J146" s="52">
        <v>0.77910847955999996</v>
      </c>
      <c r="K146" s="70">
        <f t="shared" si="26"/>
        <v>835.01625028761657</v>
      </c>
      <c r="L146" s="70">
        <f t="shared" si="27"/>
        <v>475.90914306298941</v>
      </c>
      <c r="M146" s="70">
        <f t="shared" si="31"/>
        <v>599.57876913600012</v>
      </c>
      <c r="N146" s="68">
        <f t="shared" si="32"/>
        <v>531.63012879925759</v>
      </c>
      <c r="O146" s="69">
        <f t="shared" si="28"/>
        <v>974.75785564622913</v>
      </c>
      <c r="P146" s="69">
        <f t="shared" si="29"/>
        <v>1070.5101007981182</v>
      </c>
      <c r="Q146" s="69">
        <f t="shared" si="30"/>
        <v>1017.2360216209323</v>
      </c>
      <c r="R146" s="69">
        <f t="shared" si="33"/>
        <v>964.98748938758945</v>
      </c>
    </row>
    <row r="147" spans="1:18" x14ac:dyDescent="0.3">
      <c r="A147" s="58" t="s">
        <v>80</v>
      </c>
      <c r="B147" s="7" t="s">
        <v>30</v>
      </c>
      <c r="C147" s="16">
        <v>2</v>
      </c>
      <c r="D147" s="16">
        <v>2</v>
      </c>
      <c r="E147" s="16">
        <v>1</v>
      </c>
      <c r="F147" s="16">
        <v>441</v>
      </c>
      <c r="G147" s="7" t="s">
        <v>21</v>
      </c>
      <c r="H147" s="21">
        <v>28.3</v>
      </c>
      <c r="I147" s="16">
        <v>21</v>
      </c>
      <c r="J147" s="52">
        <v>0.601380193482</v>
      </c>
      <c r="K147" s="70">
        <f t="shared" si="26"/>
        <v>557.48765844031743</v>
      </c>
      <c r="L147" s="70">
        <f t="shared" si="27"/>
        <v>314.06777938026067</v>
      </c>
      <c r="M147" s="70">
        <f t="shared" si="31"/>
        <v>410.25830516999997</v>
      </c>
      <c r="N147" s="68">
        <f t="shared" si="32"/>
        <v>418.26606836735533</v>
      </c>
      <c r="O147" s="69">
        <f t="shared" si="28"/>
        <v>514.8243366573713</v>
      </c>
      <c r="P147" s="69">
        <f t="shared" si="29"/>
        <v>565.39647188894014</v>
      </c>
      <c r="Q147" s="69">
        <f t="shared" si="30"/>
        <v>545.55401913898083</v>
      </c>
      <c r="R147" s="69">
        <f t="shared" si="33"/>
        <v>510.75572469207685</v>
      </c>
    </row>
    <row r="148" spans="1:18" x14ac:dyDescent="0.3">
      <c r="A148" s="58" t="s">
        <v>80</v>
      </c>
      <c r="B148" s="7" t="s">
        <v>44</v>
      </c>
      <c r="C148" s="16">
        <v>2</v>
      </c>
      <c r="D148" s="16">
        <v>3</v>
      </c>
      <c r="E148" s="16">
        <v>1</v>
      </c>
      <c r="F148" s="16">
        <v>701</v>
      </c>
      <c r="G148" s="7" t="s">
        <v>21</v>
      </c>
      <c r="H148" s="21">
        <v>17.600000000000001</v>
      </c>
      <c r="I148" s="16">
        <v>20.6</v>
      </c>
      <c r="J148" s="52">
        <v>0.62259741449999995</v>
      </c>
      <c r="K148" s="70">
        <f t="shared" si="26"/>
        <v>167.63419960794138</v>
      </c>
      <c r="L148" s="70">
        <f t="shared" si="27"/>
        <v>97.607947487617565</v>
      </c>
      <c r="M148" s="70">
        <f t="shared" si="31"/>
        <v>155.65309900800005</v>
      </c>
      <c r="N148" s="68">
        <f t="shared" si="32"/>
        <v>260.03959538099605</v>
      </c>
      <c r="O148" s="69">
        <f t="shared" si="28"/>
        <v>202.2169944396274</v>
      </c>
      <c r="P148" s="69">
        <f t="shared" si="29"/>
        <v>222.0811392765259</v>
      </c>
      <c r="Q148" s="69">
        <f t="shared" si="30"/>
        <v>219.14750784255742</v>
      </c>
      <c r="R148" s="69">
        <f t="shared" si="33"/>
        <v>193.35417813045208</v>
      </c>
    </row>
    <row r="149" spans="1:18" x14ac:dyDescent="0.3">
      <c r="A149" s="58" t="s">
        <v>81</v>
      </c>
      <c r="B149" s="17" t="s">
        <v>30</v>
      </c>
      <c r="C149" s="16">
        <v>1</v>
      </c>
      <c r="D149" s="16">
        <v>3</v>
      </c>
      <c r="E149" s="16">
        <v>1</v>
      </c>
      <c r="F149" s="16">
        <v>1727</v>
      </c>
      <c r="G149" s="7" t="s">
        <v>21</v>
      </c>
      <c r="H149" s="16">
        <v>35.700000000000003</v>
      </c>
      <c r="I149" s="16">
        <v>18.5</v>
      </c>
      <c r="J149" s="52">
        <v>0.655456186</v>
      </c>
      <c r="K149" s="70">
        <f t="shared" si="26"/>
        <v>1003.3816686288121</v>
      </c>
      <c r="L149" s="70">
        <f t="shared" si="27"/>
        <v>525.04343016240477</v>
      </c>
      <c r="M149" s="70">
        <f t="shared" si="31"/>
        <v>575.13973954500023</v>
      </c>
      <c r="N149" s="68">
        <f t="shared" si="32"/>
        <v>430.63075389855419</v>
      </c>
      <c r="O149" s="69">
        <f t="shared" si="28"/>
        <v>786.62837761034871</v>
      </c>
      <c r="P149" s="69">
        <f t="shared" si="29"/>
        <v>863.9003204011492</v>
      </c>
      <c r="Q149" s="69">
        <f t="shared" si="30"/>
        <v>825.14381284789249</v>
      </c>
      <c r="R149" s="69">
        <f t="shared" si="33"/>
        <v>876.25710753253338</v>
      </c>
    </row>
    <row r="150" spans="1:18" x14ac:dyDescent="0.3">
      <c r="A150" s="58" t="s">
        <v>81</v>
      </c>
      <c r="B150" s="17" t="s">
        <v>26</v>
      </c>
      <c r="C150" s="16">
        <v>1</v>
      </c>
      <c r="D150" s="16">
        <v>1</v>
      </c>
      <c r="E150" s="16">
        <v>2</v>
      </c>
      <c r="F150" s="16">
        <v>1643</v>
      </c>
      <c r="G150" s="7" t="s">
        <v>21</v>
      </c>
      <c r="H150" s="16">
        <v>11.8</v>
      </c>
      <c r="I150" s="16">
        <v>13</v>
      </c>
      <c r="J150" s="52">
        <v>0.74557338574999998</v>
      </c>
      <c r="K150" s="70">
        <f t="shared" si="26"/>
        <v>60.964505308279705</v>
      </c>
      <c r="L150" s="70">
        <f t="shared" si="27"/>
        <v>30.23817067185875</v>
      </c>
      <c r="M150" s="70">
        <f t="shared" si="31"/>
        <v>44.154257160000007</v>
      </c>
      <c r="N150" s="68">
        <f t="shared" si="32"/>
        <v>89.796410063256843</v>
      </c>
      <c r="O150" s="69">
        <f t="shared" si="28"/>
        <v>68.693484418001916</v>
      </c>
      <c r="P150" s="69">
        <f t="shared" si="29"/>
        <v>75.441370903070862</v>
      </c>
      <c r="Q150" s="69">
        <f t="shared" si="30"/>
        <v>76.399071711818493</v>
      </c>
      <c r="R150" s="69">
        <f t="shared" si="33"/>
        <v>86.36338055908017</v>
      </c>
    </row>
    <row r="151" spans="1:18" x14ac:dyDescent="0.3">
      <c r="A151" s="58" t="s">
        <v>81</v>
      </c>
      <c r="B151" s="7" t="s">
        <v>59</v>
      </c>
      <c r="C151" s="16">
        <v>2</v>
      </c>
      <c r="D151" s="16">
        <v>1</v>
      </c>
      <c r="E151" s="16"/>
      <c r="F151" s="16">
        <v>248</v>
      </c>
      <c r="G151" s="7" t="s">
        <v>21</v>
      </c>
      <c r="H151" s="21">
        <v>11.8</v>
      </c>
      <c r="I151" s="16">
        <v>10.199999999999999</v>
      </c>
      <c r="J151" s="52">
        <v>0.55602062475000003</v>
      </c>
      <c r="K151" s="70">
        <f t="shared" si="26"/>
        <v>60.964505308279705</v>
      </c>
      <c r="L151" s="70">
        <f t="shared" si="27"/>
        <v>27.285500972446329</v>
      </c>
      <c r="M151" s="70">
        <f t="shared" si="31"/>
        <v>34.644109464000003</v>
      </c>
      <c r="N151" s="68">
        <f t="shared" si="32"/>
        <v>62.511281147770461</v>
      </c>
      <c r="O151" s="69">
        <f t="shared" si="28"/>
        <v>40.195077475230846</v>
      </c>
      <c r="P151" s="69">
        <f t="shared" si="29"/>
        <v>44.143513376530535</v>
      </c>
      <c r="Q151" s="69">
        <f t="shared" si="30"/>
        <v>45.28258696725802</v>
      </c>
      <c r="R151" s="69">
        <f t="shared" si="33"/>
        <v>57.983402406397218</v>
      </c>
    </row>
    <row r="152" spans="1:18" x14ac:dyDescent="0.3">
      <c r="A152" s="58" t="s">
        <v>81</v>
      </c>
      <c r="B152" s="7" t="s">
        <v>26</v>
      </c>
      <c r="C152" s="16">
        <v>2</v>
      </c>
      <c r="D152" s="16">
        <v>2</v>
      </c>
      <c r="E152" s="16">
        <v>2</v>
      </c>
      <c r="F152" s="16">
        <v>505</v>
      </c>
      <c r="G152" s="7" t="s">
        <v>21</v>
      </c>
      <c r="H152" s="21">
        <v>13.5</v>
      </c>
      <c r="I152" s="16">
        <v>10</v>
      </c>
      <c r="J152" s="52">
        <v>0.62179669599999998</v>
      </c>
      <c r="K152" s="70">
        <f t="shared" si="26"/>
        <v>85.695893231898594</v>
      </c>
      <c r="L152" s="70">
        <f t="shared" si="27"/>
        <v>37.59303105439146</v>
      </c>
      <c r="M152" s="70">
        <f t="shared" si="31"/>
        <v>44.456242500000002</v>
      </c>
      <c r="N152" s="68">
        <f t="shared" si="32"/>
        <v>68.876911429390475</v>
      </c>
      <c r="O152" s="69">
        <f t="shared" si="28"/>
        <v>57.681125953614</v>
      </c>
      <c r="P152" s="69">
        <f t="shared" si="29"/>
        <v>63.347248345913997</v>
      </c>
      <c r="Q152" s="69">
        <f t="shared" si="30"/>
        <v>64.42099502723562</v>
      </c>
      <c r="R152" s="69">
        <f t="shared" si="33"/>
        <v>86.299700843789253</v>
      </c>
    </row>
    <row r="153" spans="1:18" x14ac:dyDescent="0.3">
      <c r="A153" s="58" t="s">
        <v>81</v>
      </c>
      <c r="B153" s="7" t="s">
        <v>30</v>
      </c>
      <c r="C153" s="16">
        <v>2</v>
      </c>
      <c r="D153" s="16">
        <v>3</v>
      </c>
      <c r="E153" s="16">
        <v>2</v>
      </c>
      <c r="F153" s="16">
        <v>599</v>
      </c>
      <c r="G153" s="7" t="s">
        <v>21</v>
      </c>
      <c r="H153" s="30">
        <f>SQRT(17.8^2+14^2)</f>
        <v>22.645970944077447</v>
      </c>
      <c r="I153" s="16">
        <v>13.7</v>
      </c>
      <c r="J153" s="52">
        <v>0.63040140150000001</v>
      </c>
      <c r="K153" s="70">
        <f t="shared" si="26"/>
        <v>317.20693119078538</v>
      </c>
      <c r="L153" s="70">
        <f t="shared" si="27"/>
        <v>152.03371618228942</v>
      </c>
      <c r="M153" s="70">
        <f t="shared" si="31"/>
        <v>171.38297384400002</v>
      </c>
      <c r="N153" s="68">
        <f t="shared" si="32"/>
        <v>179.24770762276265</v>
      </c>
      <c r="O153" s="69">
        <f t="shared" si="28"/>
        <v>225.44334052551221</v>
      </c>
      <c r="P153" s="69">
        <f t="shared" si="29"/>
        <v>247.58905177556244</v>
      </c>
      <c r="Q153" s="69">
        <f t="shared" si="30"/>
        <v>243.68175949303929</v>
      </c>
      <c r="R153" s="69">
        <f t="shared" si="33"/>
        <v>290.36835324500231</v>
      </c>
    </row>
    <row r="154" spans="1:18" x14ac:dyDescent="0.3">
      <c r="A154" s="58" t="s">
        <v>82</v>
      </c>
      <c r="B154" s="7" t="s">
        <v>20</v>
      </c>
      <c r="C154" s="16">
        <v>1</v>
      </c>
      <c r="D154" s="16">
        <v>1</v>
      </c>
      <c r="E154" s="16">
        <v>2</v>
      </c>
      <c r="F154" s="16">
        <v>2012</v>
      </c>
      <c r="G154" s="7" t="s">
        <v>21</v>
      </c>
      <c r="H154" s="21">
        <v>10.4</v>
      </c>
      <c r="I154" s="16">
        <v>8.9</v>
      </c>
      <c r="J154" s="52">
        <v>0.323709941</v>
      </c>
      <c r="K154" s="70">
        <f t="shared" si="26"/>
        <v>44.290432787059352</v>
      </c>
      <c r="L154" s="70">
        <f t="shared" si="27"/>
        <v>18.916272670815371</v>
      </c>
      <c r="M154" s="70">
        <f t="shared" si="31"/>
        <v>23.481287232000003</v>
      </c>
      <c r="N154" s="68">
        <f t="shared" si="32"/>
        <v>45.287155765706899</v>
      </c>
      <c r="O154" s="69">
        <f t="shared" si="28"/>
        <v>15.860997774679866</v>
      </c>
      <c r="P154" s="69">
        <f t="shared" si="29"/>
        <v>17.41905256590579</v>
      </c>
      <c r="Q154" s="69">
        <f t="shared" si="30"/>
        <v>18.271789392578764</v>
      </c>
      <c r="R154" s="69">
        <f t="shared" si="33"/>
        <v>23.681908605441372</v>
      </c>
    </row>
    <row r="155" spans="1:18" x14ac:dyDescent="0.3">
      <c r="A155" s="58" t="s">
        <v>82</v>
      </c>
      <c r="B155" s="7" t="s">
        <v>24</v>
      </c>
      <c r="C155" s="16">
        <v>1</v>
      </c>
      <c r="D155" s="16">
        <v>3</v>
      </c>
      <c r="E155" s="16">
        <v>2</v>
      </c>
      <c r="F155" s="16">
        <v>1269</v>
      </c>
      <c r="G155" s="7" t="s">
        <v>21</v>
      </c>
      <c r="H155" s="21">
        <v>18.8</v>
      </c>
      <c r="I155" s="16">
        <v>10.3</v>
      </c>
      <c r="J155" s="52">
        <v>0.325017326</v>
      </c>
      <c r="K155" s="70">
        <f t="shared" si="26"/>
        <v>198.07740342365784</v>
      </c>
      <c r="L155" s="70">
        <f t="shared" si="27"/>
        <v>85.498530071832846</v>
      </c>
      <c r="M155" s="70">
        <f t="shared" si="31"/>
        <v>88.801057776000022</v>
      </c>
      <c r="N155" s="68">
        <f t="shared" si="32"/>
        <v>98.280647578817252</v>
      </c>
      <c r="O155" s="69">
        <f t="shared" si="28"/>
        <v>60.22505683295396</v>
      </c>
      <c r="P155" s="69">
        <f t="shared" si="29"/>
        <v>66.141074203578114</v>
      </c>
      <c r="Q155" s="69">
        <f t="shared" si="30"/>
        <v>67.192542383135475</v>
      </c>
      <c r="R155" s="69">
        <f t="shared" si="33"/>
        <v>87.177966375602537</v>
      </c>
    </row>
    <row r="156" spans="1:18" x14ac:dyDescent="0.3">
      <c r="A156" s="58" t="s">
        <v>82</v>
      </c>
      <c r="B156" s="7" t="s">
        <v>24</v>
      </c>
      <c r="C156" s="16">
        <v>1</v>
      </c>
      <c r="D156" s="16">
        <v>1</v>
      </c>
      <c r="E156" s="16">
        <v>2</v>
      </c>
      <c r="F156" s="16">
        <v>1695</v>
      </c>
      <c r="G156" s="7" t="s">
        <v>21</v>
      </c>
      <c r="H156" s="21">
        <v>25.8</v>
      </c>
      <c r="I156" s="16">
        <v>16</v>
      </c>
      <c r="J156" s="52">
        <v>0.347065495</v>
      </c>
      <c r="K156" s="70">
        <f t="shared" si="26"/>
        <v>441.17757754928721</v>
      </c>
      <c r="L156" s="70">
        <f t="shared" si="27"/>
        <v>223.28248625374431</v>
      </c>
      <c r="M156" s="70">
        <f t="shared" si="31"/>
        <v>259.79130431999999</v>
      </c>
      <c r="N156" s="68">
        <f t="shared" si="32"/>
        <v>255.46945884967622</v>
      </c>
      <c r="O156" s="69">
        <f t="shared" si="28"/>
        <v>188.14323860916193</v>
      </c>
      <c r="P156" s="69">
        <f t="shared" si="29"/>
        <v>206.62489269650592</v>
      </c>
      <c r="Q156" s="69">
        <f t="shared" si="30"/>
        <v>204.24874532059059</v>
      </c>
      <c r="R156" s="69">
        <f t="shared" si="33"/>
        <v>211.92744102168967</v>
      </c>
    </row>
    <row r="157" spans="1:18" x14ac:dyDescent="0.3">
      <c r="A157" s="58" t="s">
        <v>82</v>
      </c>
      <c r="B157" s="7" t="s">
        <v>26</v>
      </c>
      <c r="C157" s="16">
        <v>2</v>
      </c>
      <c r="D157" s="16">
        <v>2</v>
      </c>
      <c r="E157" s="16">
        <v>1</v>
      </c>
      <c r="F157" s="16">
        <v>492</v>
      </c>
      <c r="G157" s="7" t="s">
        <v>21</v>
      </c>
      <c r="H157" s="21">
        <v>14.5</v>
      </c>
      <c r="I157" s="16">
        <v>8.3000000000000007</v>
      </c>
      <c r="J157" s="52">
        <v>0.28791350799999998</v>
      </c>
      <c r="K157" s="70">
        <f t="shared" si="26"/>
        <v>102.67781571633475</v>
      </c>
      <c r="L157" s="70">
        <f t="shared" si="27"/>
        <v>41.36722064431266</v>
      </c>
      <c r="M157" s="70">
        <f t="shared" si="31"/>
        <v>42.567614475000006</v>
      </c>
      <c r="N157" s="68">
        <f t="shared" si="32"/>
        <v>55.772264468045975</v>
      </c>
      <c r="O157" s="69">
        <f t="shared" si="28"/>
        <v>25.57372084713079</v>
      </c>
      <c r="P157" s="69">
        <f t="shared" si="29"/>
        <v>28.085874171996291</v>
      </c>
      <c r="Q157" s="69">
        <f t="shared" si="30"/>
        <v>29.124962499737148</v>
      </c>
      <c r="R157" s="69">
        <f t="shared" si="33"/>
        <v>41.100201918369862</v>
      </c>
    </row>
    <row r="158" spans="1:18" x14ac:dyDescent="0.3">
      <c r="A158" s="58" t="s">
        <v>82</v>
      </c>
      <c r="B158" s="7" t="s">
        <v>20</v>
      </c>
      <c r="C158" s="16">
        <v>2</v>
      </c>
      <c r="D158" s="16">
        <v>2</v>
      </c>
      <c r="E158" s="16">
        <v>2</v>
      </c>
      <c r="F158" s="16">
        <v>332</v>
      </c>
      <c r="G158" s="7" t="s">
        <v>21</v>
      </c>
      <c r="H158" s="21">
        <v>25.2</v>
      </c>
      <c r="I158" s="16">
        <v>10.4</v>
      </c>
      <c r="J158" s="52">
        <v>0.31213714199999998</v>
      </c>
      <c r="K158" s="70">
        <f t="shared" si="26"/>
        <v>415.67982235783069</v>
      </c>
      <c r="L158" s="70">
        <f t="shared" si="27"/>
        <v>175.64481115433207</v>
      </c>
      <c r="M158" s="70">
        <f t="shared" si="31"/>
        <v>161.10151948800001</v>
      </c>
      <c r="N158" s="68">
        <f t="shared" si="32"/>
        <v>131.33159075323778</v>
      </c>
      <c r="O158" s="69">
        <f t="shared" si="28"/>
        <v>104.92951192229076</v>
      </c>
      <c r="P158" s="69">
        <f t="shared" si="29"/>
        <v>115.2369295963861</v>
      </c>
      <c r="Q158" s="69">
        <f t="shared" si="30"/>
        <v>115.5193183976905</v>
      </c>
      <c r="R158" s="69">
        <f t="shared" si="33"/>
        <v>155.38254365784886</v>
      </c>
    </row>
    <row r="159" spans="1:18" x14ac:dyDescent="0.3">
      <c r="A159" s="58" t="s">
        <v>82</v>
      </c>
      <c r="B159" s="7" t="s">
        <v>20</v>
      </c>
      <c r="C159" s="16">
        <v>2</v>
      </c>
      <c r="D159" s="16">
        <v>3</v>
      </c>
      <c r="E159" s="16">
        <v>1</v>
      </c>
      <c r="F159" s="16">
        <v>715</v>
      </c>
      <c r="G159" s="7" t="s">
        <v>21</v>
      </c>
      <c r="H159" s="21">
        <v>26.2</v>
      </c>
      <c r="I159" s="16">
        <v>9.4</v>
      </c>
      <c r="J159" s="52">
        <v>0.36517019699999997</v>
      </c>
      <c r="K159" s="70">
        <f t="shared" si="26"/>
        <v>458.6884902777303</v>
      </c>
      <c r="L159" s="70">
        <f t="shared" si="27"/>
        <v>185.06803901781493</v>
      </c>
      <c r="M159" s="70">
        <f t="shared" si="31"/>
        <v>157.39671064800001</v>
      </c>
      <c r="N159" s="68">
        <f t="shared" si="32"/>
        <v>117.13831691379083</v>
      </c>
      <c r="O159" s="69">
        <f t="shared" si="28"/>
        <v>119.93433857152223</v>
      </c>
      <c r="P159" s="69">
        <f t="shared" si="29"/>
        <v>131.7157077828702</v>
      </c>
      <c r="Q159" s="69">
        <f t="shared" si="30"/>
        <v>131.61561213133069</v>
      </c>
      <c r="R159" s="69">
        <f t="shared" si="33"/>
        <v>192.98891385530942</v>
      </c>
    </row>
    <row r="160" spans="1:18" x14ac:dyDescent="0.3">
      <c r="A160" s="58" t="s">
        <v>83</v>
      </c>
      <c r="B160" s="7" t="s">
        <v>30</v>
      </c>
      <c r="C160" s="16">
        <v>2</v>
      </c>
      <c r="D160" s="16">
        <v>1</v>
      </c>
      <c r="E160" s="16"/>
      <c r="F160" s="16">
        <v>496</v>
      </c>
      <c r="G160" s="7" t="s">
        <v>84</v>
      </c>
      <c r="H160" s="21">
        <v>19.899999999999999</v>
      </c>
      <c r="I160" s="16">
        <v>8.1</v>
      </c>
      <c r="J160" s="52">
        <v>0.70277513399999991</v>
      </c>
      <c r="K160" s="70">
        <f t="shared" si="26"/>
        <v>228.72511727018087</v>
      </c>
      <c r="L160" s="70">
        <f t="shared" si="27"/>
        <v>88.73482079086854</v>
      </c>
      <c r="M160" s="70">
        <f t="shared" si="31"/>
        <v>78.244962632999986</v>
      </c>
      <c r="N160" s="68">
        <f t="shared" si="32"/>
        <v>72.421246939961222</v>
      </c>
      <c r="O160" s="69">
        <f t="shared" si="28"/>
        <v>114.74277283035649</v>
      </c>
      <c r="P160" s="69">
        <f t="shared" si="29"/>
        <v>126.01416505337775</v>
      </c>
      <c r="Q160" s="69">
        <f t="shared" si="30"/>
        <v>126.0522032793059</v>
      </c>
      <c r="R160" s="69">
        <f t="shared" si="33"/>
        <v>207.84129857099856</v>
      </c>
    </row>
    <row r="161" spans="1:18" x14ac:dyDescent="0.3">
      <c r="A161" s="58" t="s">
        <v>83</v>
      </c>
      <c r="B161" s="7" t="s">
        <v>30</v>
      </c>
      <c r="C161" s="16">
        <v>1</v>
      </c>
      <c r="D161" s="16">
        <v>2</v>
      </c>
      <c r="E161" s="16">
        <v>1</v>
      </c>
      <c r="F161" s="16">
        <v>4964</v>
      </c>
      <c r="G161" s="7" t="s">
        <v>84</v>
      </c>
      <c r="H161" s="30">
        <f>SQRT(19.9^2+5.5^2)</f>
        <v>20.646065000382034</v>
      </c>
      <c r="I161" s="16">
        <v>9.6</v>
      </c>
      <c r="J161" s="52">
        <v>0.67274608633333344</v>
      </c>
      <c r="K161" s="70">
        <f t="shared" si="26"/>
        <v>251.04635497292819</v>
      </c>
      <c r="L161" s="70">
        <f t="shared" si="27"/>
        <v>104.3290347583855</v>
      </c>
      <c r="M161" s="70">
        <f t="shared" si="31"/>
        <v>99.818497727999997</v>
      </c>
      <c r="N161" s="68">
        <f t="shared" si="32"/>
        <v>96.621475694096503</v>
      </c>
      <c r="O161" s="69">
        <f t="shared" si="28"/>
        <v>140.12472585702466</v>
      </c>
      <c r="P161" s="69">
        <f t="shared" si="29"/>
        <v>153.88943370152612</v>
      </c>
      <c r="Q161" s="69">
        <f t="shared" si="30"/>
        <v>153.19935258295473</v>
      </c>
      <c r="R161" s="69">
        <f t="shared" si="33"/>
        <v>227.04938177052773</v>
      </c>
    </row>
    <row r="162" spans="1:18" x14ac:dyDescent="0.3">
      <c r="A162" s="58" t="s">
        <v>83</v>
      </c>
      <c r="B162" s="7" t="s">
        <v>30</v>
      </c>
      <c r="C162" s="16">
        <v>1</v>
      </c>
      <c r="D162" s="16">
        <v>2</v>
      </c>
      <c r="E162" s="16">
        <v>2</v>
      </c>
      <c r="F162" s="16">
        <v>4974</v>
      </c>
      <c r="G162" s="7" t="s">
        <v>84</v>
      </c>
      <c r="H162" s="30">
        <f>SQRT(29.5^2+16.4^2)</f>
        <v>33.752185114448515</v>
      </c>
      <c r="I162" s="16">
        <v>12.3</v>
      </c>
      <c r="J162" s="52">
        <v>0.68866875125000004</v>
      </c>
      <c r="K162" s="70">
        <f t="shared" ref="K162:K179" si="34" xml:space="preserve"> EXP(-2.134 + 2.53*LN(H162))</f>
        <v>870.60141389801379</v>
      </c>
      <c r="L162" s="70">
        <f t="shared" ref="L162:L179" si="35">(0.02453 *(H162^2.443356)*(I162^0.423602))</f>
        <v>385.09611420242976</v>
      </c>
      <c r="M162" s="70">
        <f t="shared" si="31"/>
        <v>341.80161921900003</v>
      </c>
      <c r="N162" s="68">
        <f t="shared" si="32"/>
        <v>222.07381546551636</v>
      </c>
      <c r="O162" s="69">
        <f t="shared" ref="O162:O179" si="36" xml:space="preserve"> 0.0509*J162*H162^2*I162</f>
        <v>491.17591108077477</v>
      </c>
      <c r="P162" s="69">
        <f t="shared" ref="P162:P179" si="37">((0.0559)*((J162*H162^2*I162)))</f>
        <v>539.42501825963268</v>
      </c>
      <c r="Q162" s="69">
        <f t="shared" ref="Q162:Q179" si="38">((0.0673)*((J162*H162^2*I162)^0.976))</f>
        <v>521.08176874318247</v>
      </c>
      <c r="R162" s="69">
        <f t="shared" si="33"/>
        <v>714.60756926936097</v>
      </c>
    </row>
    <row r="163" spans="1:18" x14ac:dyDescent="0.3">
      <c r="A163" s="58" t="s">
        <v>83</v>
      </c>
      <c r="B163" s="7" t="s">
        <v>30</v>
      </c>
      <c r="C163" s="16">
        <v>1</v>
      </c>
      <c r="D163" s="16">
        <v>1</v>
      </c>
      <c r="E163" s="16">
        <v>1</v>
      </c>
      <c r="F163" s="16">
        <v>1312</v>
      </c>
      <c r="G163" s="7" t="s">
        <v>84</v>
      </c>
      <c r="H163" s="30">
        <f>SQRT(4.9^2 + 2^2 + 5.4^2 + 22^2)</f>
        <v>23.263060847618483</v>
      </c>
      <c r="I163" s="16">
        <v>6.3</v>
      </c>
      <c r="J163" s="52">
        <v>0.59479381399999998</v>
      </c>
      <c r="K163" s="70">
        <f t="shared" si="34"/>
        <v>339.53357241175394</v>
      </c>
      <c r="L163" s="70">
        <f t="shared" si="35"/>
        <v>116.82975550176413</v>
      </c>
      <c r="M163" s="70">
        <f t="shared" si="31"/>
        <v>83.164786802999998</v>
      </c>
      <c r="N163" s="68">
        <f t="shared" si="32"/>
        <v>57.630022196569826</v>
      </c>
      <c r="O163" s="69">
        <f t="shared" si="36"/>
        <v>103.21872452393757</v>
      </c>
      <c r="P163" s="69">
        <f t="shared" si="37"/>
        <v>113.35808842609254</v>
      </c>
      <c r="Q163" s="69">
        <f t="shared" si="38"/>
        <v>113.68071413219943</v>
      </c>
      <c r="R163" s="69">
        <f t="shared" si="33"/>
        <v>221.65687937476713</v>
      </c>
    </row>
    <row r="164" spans="1:18" x14ac:dyDescent="0.3">
      <c r="A164" s="58" t="s">
        <v>83</v>
      </c>
      <c r="B164" s="7" t="s">
        <v>30</v>
      </c>
      <c r="C164" s="16">
        <v>1</v>
      </c>
      <c r="D164" s="16">
        <v>1</v>
      </c>
      <c r="E164" s="16"/>
      <c r="F164" s="16">
        <v>2876</v>
      </c>
      <c r="G164" s="7" t="s">
        <v>84</v>
      </c>
      <c r="H164" s="21">
        <v>30.6</v>
      </c>
      <c r="I164" s="16">
        <v>12</v>
      </c>
      <c r="J164" s="52">
        <v>0.69101458650000003</v>
      </c>
      <c r="K164" s="70">
        <f t="shared" si="34"/>
        <v>679.34562771356741</v>
      </c>
      <c r="L164" s="70">
        <f t="shared" si="35"/>
        <v>299.90744303611081</v>
      </c>
      <c r="M164" s="70">
        <f t="shared" si="31"/>
        <v>274.08755376000005</v>
      </c>
      <c r="N164" s="68">
        <f t="shared" si="32"/>
        <v>195.18636289217085</v>
      </c>
      <c r="O164" s="69">
        <f t="shared" si="36"/>
        <v>395.21106584580764</v>
      </c>
      <c r="P164" s="69">
        <f t="shared" si="37"/>
        <v>434.03337093871602</v>
      </c>
      <c r="Q164" s="69">
        <f t="shared" si="38"/>
        <v>421.46712682752604</v>
      </c>
      <c r="R164" s="69">
        <f t="shared" si="33"/>
        <v>578.31873944139909</v>
      </c>
    </row>
    <row r="165" spans="1:18" x14ac:dyDescent="0.3">
      <c r="A165" s="58" t="s">
        <v>85</v>
      </c>
      <c r="B165" s="7" t="s">
        <v>30</v>
      </c>
      <c r="C165" s="16">
        <v>1</v>
      </c>
      <c r="D165" s="16">
        <v>1</v>
      </c>
      <c r="E165" s="16">
        <v>2</v>
      </c>
      <c r="F165" s="16">
        <v>1323</v>
      </c>
      <c r="G165" s="7" t="s">
        <v>86</v>
      </c>
      <c r="H165" s="21">
        <v>22.3</v>
      </c>
      <c r="I165" s="16">
        <v>14</v>
      </c>
      <c r="J165" s="52">
        <v>0.52661747799999992</v>
      </c>
      <c r="K165" s="70">
        <f t="shared" si="34"/>
        <v>305.08923162346167</v>
      </c>
      <c r="L165" s="70">
        <f t="shared" si="35"/>
        <v>147.77074175739691</v>
      </c>
      <c r="M165" s="70">
        <f t="shared" si="31"/>
        <v>169.82552958000002</v>
      </c>
      <c r="N165" s="68">
        <f t="shared" si="32"/>
        <v>182.47975058992478</v>
      </c>
      <c r="O165" s="69">
        <f t="shared" si="36"/>
        <v>186.61683217523017</v>
      </c>
      <c r="P165" s="69">
        <f t="shared" si="37"/>
        <v>204.94854456965359</v>
      </c>
      <c r="Q165" s="69">
        <f t="shared" si="38"/>
        <v>202.63128668042239</v>
      </c>
      <c r="R165" s="69">
        <f t="shared" si="33"/>
        <v>233.29363976011305</v>
      </c>
    </row>
    <row r="166" spans="1:18" x14ac:dyDescent="0.3">
      <c r="A166" s="58" t="s">
        <v>85</v>
      </c>
      <c r="B166" s="7" t="s">
        <v>30</v>
      </c>
      <c r="C166" s="16">
        <v>1</v>
      </c>
      <c r="D166" s="16">
        <v>3</v>
      </c>
      <c r="E166" s="16">
        <v>1</v>
      </c>
      <c r="F166" s="16">
        <v>1720</v>
      </c>
      <c r="G166" s="7" t="s">
        <v>86</v>
      </c>
      <c r="H166" s="21">
        <v>24.6</v>
      </c>
      <c r="I166" s="16">
        <v>17.399999999999999</v>
      </c>
      <c r="J166" s="52">
        <v>0.52435211349999999</v>
      </c>
      <c r="K166" s="70">
        <f t="shared" si="34"/>
        <v>391.09421914374781</v>
      </c>
      <c r="L166" s="70">
        <f t="shared" si="35"/>
        <v>205.94266594907864</v>
      </c>
      <c r="M166" s="70">
        <f t="shared" si="31"/>
        <v>256.85302111200008</v>
      </c>
      <c r="N166" s="68">
        <f t="shared" si="32"/>
        <v>276.87767477597674</v>
      </c>
      <c r="O166" s="69">
        <f t="shared" si="36"/>
        <v>281.03490780051288</v>
      </c>
      <c r="P166" s="69">
        <f t="shared" si="37"/>
        <v>308.64148027600527</v>
      </c>
      <c r="Q166" s="69">
        <f t="shared" si="38"/>
        <v>302.16804164159043</v>
      </c>
      <c r="R166" s="69">
        <f t="shared" si="33"/>
        <v>307.56684459306632</v>
      </c>
    </row>
    <row r="167" spans="1:18" x14ac:dyDescent="0.3">
      <c r="A167" s="58" t="s">
        <v>85</v>
      </c>
      <c r="B167" s="7" t="s">
        <v>30</v>
      </c>
      <c r="C167" s="16">
        <v>1</v>
      </c>
      <c r="D167" s="16">
        <v>3</v>
      </c>
      <c r="E167" s="16"/>
      <c r="F167" s="16">
        <v>413</v>
      </c>
      <c r="G167" s="7" t="s">
        <v>86</v>
      </c>
      <c r="H167" s="21">
        <v>40.1</v>
      </c>
      <c r="I167" s="16">
        <v>16.3</v>
      </c>
      <c r="J167" s="52">
        <v>0.59839607350000001</v>
      </c>
      <c r="K167" s="70">
        <f t="shared" si="34"/>
        <v>1346.3898790604949</v>
      </c>
      <c r="L167" s="70">
        <f t="shared" si="35"/>
        <v>661.05114760517984</v>
      </c>
      <c r="M167" s="70">
        <f t="shared" si="31"/>
        <v>639.35426325900016</v>
      </c>
      <c r="N167" s="68">
        <f t="shared" si="32"/>
        <v>397.61253360175448</v>
      </c>
      <c r="O167" s="69">
        <f t="shared" si="36"/>
        <v>798.33076735630107</v>
      </c>
      <c r="P167" s="69">
        <f t="shared" si="37"/>
        <v>876.75225727342308</v>
      </c>
      <c r="Q167" s="69">
        <f t="shared" si="38"/>
        <v>837.12244607778234</v>
      </c>
      <c r="R167" s="69">
        <f t="shared" si="33"/>
        <v>972.39111203948562</v>
      </c>
    </row>
    <row r="168" spans="1:18" x14ac:dyDescent="0.3">
      <c r="A168" s="58" t="s">
        <v>85</v>
      </c>
      <c r="B168" s="7" t="s">
        <v>30</v>
      </c>
      <c r="C168" s="16">
        <v>2</v>
      </c>
      <c r="D168" s="16">
        <v>2</v>
      </c>
      <c r="E168" s="16">
        <v>1</v>
      </c>
      <c r="F168" s="16">
        <v>442</v>
      </c>
      <c r="G168" s="7" t="s">
        <v>86</v>
      </c>
      <c r="H168" s="21">
        <v>15.6</v>
      </c>
      <c r="I168" s="16">
        <v>11.6</v>
      </c>
      <c r="J168" s="52">
        <v>0.48454364475</v>
      </c>
      <c r="K168" s="70">
        <f t="shared" si="34"/>
        <v>123.54375848971559</v>
      </c>
      <c r="L168" s="70">
        <f t="shared" si="35"/>
        <v>56.99440543933931</v>
      </c>
      <c r="M168" s="70">
        <f t="shared" si="31"/>
        <v>68.860853567999996</v>
      </c>
      <c r="N168" s="68">
        <f t="shared" si="32"/>
        <v>98.482828709726491</v>
      </c>
      <c r="O168" s="69">
        <f t="shared" si="36"/>
        <v>69.623823576162394</v>
      </c>
      <c r="P168" s="69">
        <f t="shared" si="37"/>
        <v>76.463098976571274</v>
      </c>
      <c r="Q168" s="69">
        <f t="shared" si="38"/>
        <v>77.408774117320149</v>
      </c>
      <c r="R168" s="69">
        <f t="shared" si="33"/>
        <v>94.136458381900852</v>
      </c>
    </row>
    <row r="169" spans="1:18" x14ac:dyDescent="0.3">
      <c r="A169" s="58" t="s">
        <v>85</v>
      </c>
      <c r="B169" s="7" t="s">
        <v>30</v>
      </c>
      <c r="C169" s="16">
        <v>2</v>
      </c>
      <c r="D169" s="16">
        <v>1</v>
      </c>
      <c r="E169" s="16"/>
      <c r="F169" s="16">
        <v>313</v>
      </c>
      <c r="G169" s="7" t="s">
        <v>86</v>
      </c>
      <c r="H169" s="21">
        <v>14.4</v>
      </c>
      <c r="I169" s="16">
        <v>13.3</v>
      </c>
      <c r="J169" s="52">
        <v>0.54965722949999996</v>
      </c>
      <c r="K169" s="70">
        <f t="shared" si="34"/>
        <v>100.8957053124434</v>
      </c>
      <c r="L169" s="70">
        <f t="shared" si="35"/>
        <v>49.665555376640043</v>
      </c>
      <c r="M169" s="70">
        <f t="shared" si="31"/>
        <v>67.273161984000012</v>
      </c>
      <c r="N169" s="68">
        <f t="shared" si="32"/>
        <v>112.03777379423182</v>
      </c>
      <c r="O169" s="69">
        <f t="shared" si="36"/>
        <v>77.158957637180961</v>
      </c>
      <c r="P169" s="69">
        <f t="shared" si="37"/>
        <v>84.738423023937443</v>
      </c>
      <c r="Q169" s="69">
        <f t="shared" si="38"/>
        <v>85.575134069886104</v>
      </c>
      <c r="R169" s="69">
        <f t="shared" si="33"/>
        <v>95.406758699280559</v>
      </c>
    </row>
    <row r="170" spans="1:18" x14ac:dyDescent="0.3">
      <c r="A170" s="58" t="s">
        <v>87</v>
      </c>
      <c r="B170" s="7" t="s">
        <v>30</v>
      </c>
      <c r="C170" s="22">
        <v>1</v>
      </c>
      <c r="D170" s="22">
        <v>3</v>
      </c>
      <c r="E170" s="16">
        <v>1</v>
      </c>
      <c r="F170" s="16">
        <v>1728</v>
      </c>
      <c r="G170" s="7" t="s">
        <v>84</v>
      </c>
      <c r="H170" s="21">
        <v>16.100000000000001</v>
      </c>
      <c r="I170" s="16">
        <v>11.5</v>
      </c>
      <c r="J170" s="52">
        <v>0.27271490774999996</v>
      </c>
      <c r="K170" s="70">
        <f t="shared" si="34"/>
        <v>133.80891277392826</v>
      </c>
      <c r="L170" s="70">
        <f t="shared" si="35"/>
        <v>61.336151073302617</v>
      </c>
      <c r="M170" s="70">
        <f t="shared" si="31"/>
        <v>72.713459595000018</v>
      </c>
      <c r="N170" s="68">
        <f t="shared" si="32"/>
        <v>100.14469053055431</v>
      </c>
      <c r="O170" s="69">
        <f t="shared" si="36"/>
        <v>41.378643925091595</v>
      </c>
      <c r="P170" s="69">
        <f t="shared" si="37"/>
        <v>45.443343721269557</v>
      </c>
      <c r="Q170" s="69">
        <f t="shared" si="38"/>
        <v>46.583501783667181</v>
      </c>
      <c r="R170" s="69">
        <f t="shared" si="33"/>
        <v>54.01868750552859</v>
      </c>
    </row>
    <row r="171" spans="1:18" x14ac:dyDescent="0.3">
      <c r="A171" s="58" t="s">
        <v>87</v>
      </c>
      <c r="B171" s="7" t="s">
        <v>30</v>
      </c>
      <c r="C171" s="22">
        <v>1</v>
      </c>
      <c r="D171" s="22">
        <v>3</v>
      </c>
      <c r="E171" s="16"/>
      <c r="F171" s="16">
        <v>4996</v>
      </c>
      <c r="G171" s="7" t="s">
        <v>84</v>
      </c>
      <c r="H171" s="21">
        <v>17.5</v>
      </c>
      <c r="I171" s="16">
        <v>14</v>
      </c>
      <c r="J171" s="52">
        <v>0.38126894099999997</v>
      </c>
      <c r="K171" s="70">
        <f t="shared" si="34"/>
        <v>165.23492162872634</v>
      </c>
      <c r="L171" s="70">
        <f t="shared" si="35"/>
        <v>81.730499071401255</v>
      </c>
      <c r="M171" s="70">
        <f t="shared" si="31"/>
        <v>104.58498750000001</v>
      </c>
      <c r="N171" s="68">
        <f t="shared" si="32"/>
        <v>145.29184996165822</v>
      </c>
      <c r="O171" s="69">
        <f t="shared" si="36"/>
        <v>83.20575075295875</v>
      </c>
      <c r="P171" s="69">
        <f t="shared" si="37"/>
        <v>91.379203675646238</v>
      </c>
      <c r="Q171" s="69">
        <f t="shared" si="38"/>
        <v>92.114536664407069</v>
      </c>
      <c r="R171" s="69">
        <f t="shared" si="33"/>
        <v>98.792906832332378</v>
      </c>
    </row>
    <row r="172" spans="1:18" x14ac:dyDescent="0.3">
      <c r="A172" s="58" t="s">
        <v>87</v>
      </c>
      <c r="B172" s="7" t="s">
        <v>38</v>
      </c>
      <c r="C172" s="22">
        <v>1</v>
      </c>
      <c r="D172" s="22">
        <v>2</v>
      </c>
      <c r="E172" s="16"/>
      <c r="F172" s="16">
        <v>4999</v>
      </c>
      <c r="G172" s="7" t="s">
        <v>84</v>
      </c>
      <c r="H172" s="21">
        <v>51</v>
      </c>
      <c r="I172" s="16">
        <v>21.4</v>
      </c>
      <c r="J172" s="52">
        <v>0.38791938300000001</v>
      </c>
      <c r="K172" s="70">
        <f t="shared" si="34"/>
        <v>2473.820141394564</v>
      </c>
      <c r="L172" s="70">
        <f t="shared" si="35"/>
        <v>1334.9509803374719</v>
      </c>
      <c r="M172" s="70">
        <f t="shared" si="31"/>
        <v>1357.7485302</v>
      </c>
      <c r="N172" s="68">
        <f t="shared" si="32"/>
        <v>748.48047290197155</v>
      </c>
      <c r="O172" s="69">
        <f t="shared" si="36"/>
        <v>1099.0397195962346</v>
      </c>
      <c r="P172" s="69">
        <f t="shared" si="37"/>
        <v>1207.0003993208156</v>
      </c>
      <c r="Q172" s="69">
        <f t="shared" si="38"/>
        <v>1143.6353619833046</v>
      </c>
      <c r="R172" s="69">
        <f t="shared" si="33"/>
        <v>1110.7952909480296</v>
      </c>
    </row>
    <row r="173" spans="1:18" x14ac:dyDescent="0.3">
      <c r="A173" s="58" t="s">
        <v>87</v>
      </c>
      <c r="B173" s="7" t="s">
        <v>38</v>
      </c>
      <c r="C173" s="22">
        <v>1</v>
      </c>
      <c r="D173" s="22">
        <v>1</v>
      </c>
      <c r="E173" s="16"/>
      <c r="F173" s="79" t="s">
        <v>102</v>
      </c>
      <c r="G173" s="7" t="s">
        <v>84</v>
      </c>
      <c r="H173" s="21">
        <v>30.2</v>
      </c>
      <c r="I173" s="16">
        <v>13.6</v>
      </c>
      <c r="J173" s="52">
        <v>0.48020866600000001</v>
      </c>
      <c r="K173" s="70">
        <f t="shared" si="34"/>
        <v>657.10253298059672</v>
      </c>
      <c r="L173" s="70">
        <f t="shared" si="35"/>
        <v>306.23212004278639</v>
      </c>
      <c r="M173" s="70">
        <f t="shared" si="31"/>
        <v>302.564527392</v>
      </c>
      <c r="N173" s="68">
        <f t="shared" si="32"/>
        <v>232.40453237614614</v>
      </c>
      <c r="O173" s="69">
        <f t="shared" si="36"/>
        <v>303.18001480595609</v>
      </c>
      <c r="P173" s="69">
        <f t="shared" si="37"/>
        <v>332.96194160418366</v>
      </c>
      <c r="Q173" s="69">
        <f t="shared" si="38"/>
        <v>325.38555173088366</v>
      </c>
      <c r="R173" s="69">
        <f t="shared" si="33"/>
        <v>396.61002019734815</v>
      </c>
    </row>
    <row r="174" spans="1:18" x14ac:dyDescent="0.3">
      <c r="A174" s="58" t="s">
        <v>87</v>
      </c>
      <c r="B174" s="7" t="s">
        <v>38</v>
      </c>
      <c r="C174" s="22">
        <v>1</v>
      </c>
      <c r="D174" s="22">
        <v>1</v>
      </c>
      <c r="E174" s="16"/>
      <c r="F174" s="16">
        <v>203</v>
      </c>
      <c r="G174" s="7" t="s">
        <v>84</v>
      </c>
      <c r="H174" s="21">
        <v>21.4</v>
      </c>
      <c r="I174" s="16">
        <v>11.5</v>
      </c>
      <c r="J174" s="52">
        <v>0.33314518000000004</v>
      </c>
      <c r="K174" s="70">
        <f t="shared" si="34"/>
        <v>274.89220327557751</v>
      </c>
      <c r="L174" s="70">
        <f t="shared" si="35"/>
        <v>122.93788869181564</v>
      </c>
      <c r="M174" s="70">
        <f t="shared" si="31"/>
        <v>128.46671021999998</v>
      </c>
      <c r="N174" s="68">
        <f t="shared" si="32"/>
        <v>130.86608455565636</v>
      </c>
      <c r="O174" s="69">
        <f t="shared" si="36"/>
        <v>89.305190988509466</v>
      </c>
      <c r="P174" s="69">
        <f t="shared" si="37"/>
        <v>98.077803069895467</v>
      </c>
      <c r="Q174" s="69">
        <f t="shared" si="38"/>
        <v>98.699322456924676</v>
      </c>
      <c r="R174" s="69">
        <f t="shared" si="33"/>
        <v>122.16093411704669</v>
      </c>
    </row>
    <row r="175" spans="1:18" x14ac:dyDescent="0.3">
      <c r="A175" s="58" t="s">
        <v>88</v>
      </c>
      <c r="B175" s="7" t="s">
        <v>30</v>
      </c>
      <c r="C175" s="16">
        <v>1</v>
      </c>
      <c r="D175" s="16">
        <v>2</v>
      </c>
      <c r="E175" s="16">
        <v>2</v>
      </c>
      <c r="F175" s="16">
        <v>4972</v>
      </c>
      <c r="G175" s="7" t="s">
        <v>21</v>
      </c>
      <c r="H175" s="31">
        <f>SQRT(14.9^2+7.4^2)</f>
        <v>16.636405861844079</v>
      </c>
      <c r="I175" s="18">
        <v>9.6999999999999993</v>
      </c>
      <c r="J175" s="52">
        <v>0.92542914850000002</v>
      </c>
      <c r="K175" s="70">
        <f t="shared" si="34"/>
        <v>145.37714243119657</v>
      </c>
      <c r="L175" s="70">
        <f t="shared" si="35"/>
        <v>61.827131955242663</v>
      </c>
      <c r="M175" s="70">
        <f t="shared" si="31"/>
        <v>65.487130917000016</v>
      </c>
      <c r="N175" s="68">
        <f t="shared" si="32"/>
        <v>80.098178248135198</v>
      </c>
      <c r="O175" s="69">
        <f t="shared" si="36"/>
        <v>126.45957118572424</v>
      </c>
      <c r="P175" s="69">
        <f t="shared" si="37"/>
        <v>138.88192591909601</v>
      </c>
      <c r="Q175" s="69">
        <f t="shared" si="38"/>
        <v>138.60004541137113</v>
      </c>
      <c r="R175" s="69">
        <f t="shared" si="33"/>
        <v>203.67383890198499</v>
      </c>
    </row>
    <row r="176" spans="1:18" x14ac:dyDescent="0.3">
      <c r="A176" s="58" t="s">
        <v>88</v>
      </c>
      <c r="B176" s="7" t="s">
        <v>30</v>
      </c>
      <c r="C176" s="16">
        <v>2</v>
      </c>
      <c r="D176" s="16">
        <v>1</v>
      </c>
      <c r="E176" s="16"/>
      <c r="F176" s="16">
        <v>424</v>
      </c>
      <c r="G176" s="7" t="s">
        <v>21</v>
      </c>
      <c r="H176" s="21">
        <v>17.600000000000001</v>
      </c>
      <c r="I176" s="16">
        <v>12.7</v>
      </c>
      <c r="J176" s="52">
        <v>0.90652633824999995</v>
      </c>
      <c r="K176" s="70">
        <f t="shared" si="34"/>
        <v>167.63419960794138</v>
      </c>
      <c r="L176" s="70">
        <f t="shared" si="35"/>
        <v>79.524667505994231</v>
      </c>
      <c r="M176" s="70">
        <f t="shared" si="31"/>
        <v>95.960891136000015</v>
      </c>
      <c r="N176" s="68">
        <f t="shared" si="32"/>
        <v>126.28983670346861</v>
      </c>
      <c r="O176" s="69">
        <f t="shared" si="36"/>
        <v>181.52116306183333</v>
      </c>
      <c r="P176" s="69">
        <f t="shared" si="37"/>
        <v>199.35231856888967</v>
      </c>
      <c r="Q176" s="69">
        <f t="shared" si="38"/>
        <v>197.22933928072297</v>
      </c>
      <c r="R176" s="69">
        <f t="shared" si="33"/>
        <v>245.84954835968313</v>
      </c>
    </row>
    <row r="177" spans="1:18" x14ac:dyDescent="0.3">
      <c r="A177" s="58" t="s">
        <v>88</v>
      </c>
      <c r="B177" s="7" t="s">
        <v>30</v>
      </c>
      <c r="C177" s="16">
        <v>2</v>
      </c>
      <c r="D177" s="16">
        <v>1</v>
      </c>
      <c r="E177" s="16">
        <v>1</v>
      </c>
      <c r="F177" s="16">
        <v>79</v>
      </c>
      <c r="G177" s="7" t="s">
        <v>21</v>
      </c>
      <c r="H177" s="30">
        <f>SQRT(15.1^2+16.6^2+15.4^2)</f>
        <v>27.21635537686852</v>
      </c>
      <c r="I177" s="16">
        <v>12.7</v>
      </c>
      <c r="J177" s="52">
        <v>0.89703169549999995</v>
      </c>
      <c r="K177" s="70">
        <f t="shared" si="34"/>
        <v>505.05118260350798</v>
      </c>
      <c r="L177" s="70">
        <f t="shared" si="35"/>
        <v>230.71265717335584</v>
      </c>
      <c r="M177" s="70">
        <f t="shared" si="31"/>
        <v>229.47156150299998</v>
      </c>
      <c r="N177" s="68">
        <f t="shared" si="32"/>
        <v>190.26869668458679</v>
      </c>
      <c r="O177" s="69">
        <f t="shared" si="36"/>
        <v>429.52577098754119</v>
      </c>
      <c r="P177" s="69">
        <f t="shared" si="37"/>
        <v>471.71887226333109</v>
      </c>
      <c r="Q177" s="69">
        <f t="shared" si="38"/>
        <v>457.14712548225572</v>
      </c>
      <c r="R177" s="69">
        <f t="shared" si="33"/>
        <v>609.82354056752195</v>
      </c>
    </row>
    <row r="178" spans="1:18" x14ac:dyDescent="0.3">
      <c r="A178" s="58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87</v>
      </c>
      <c r="G178" s="7" t="s">
        <v>21</v>
      </c>
      <c r="H178" s="30">
        <f>SQRT(9.8^2+10.5^2)</f>
        <v>14.362799170078235</v>
      </c>
      <c r="I178" s="16">
        <v>12.2</v>
      </c>
      <c r="J178" s="52">
        <v>0.95122003050000004</v>
      </c>
      <c r="K178" s="70">
        <f t="shared" si="34"/>
        <v>100.23755576314639</v>
      </c>
      <c r="L178" s="70">
        <f t="shared" si="35"/>
        <v>47.58047947117366</v>
      </c>
      <c r="M178" s="70">
        <f t="shared" si="31"/>
        <v>61.390790034000013</v>
      </c>
      <c r="N178" s="68">
        <f t="shared" si="32"/>
        <v>98.248221512566232</v>
      </c>
      <c r="O178" s="69">
        <f t="shared" si="36"/>
        <v>121.8531542934339</v>
      </c>
      <c r="P178" s="69">
        <f t="shared" si="37"/>
        <v>133.82301227903645</v>
      </c>
      <c r="Q178" s="69">
        <f t="shared" si="38"/>
        <v>133.67038590779885</v>
      </c>
      <c r="R178" s="69">
        <f t="shared" si="33"/>
        <v>166.33787233482079</v>
      </c>
    </row>
    <row r="179" spans="1:18" x14ac:dyDescent="0.3">
      <c r="A179" s="58" t="s">
        <v>88</v>
      </c>
      <c r="B179" s="7" t="s">
        <v>30</v>
      </c>
      <c r="C179" s="16">
        <v>2</v>
      </c>
      <c r="D179" s="16">
        <v>1</v>
      </c>
      <c r="E179" s="16">
        <v>2</v>
      </c>
      <c r="F179" s="16">
        <v>109</v>
      </c>
      <c r="G179" s="7" t="s">
        <v>21</v>
      </c>
      <c r="H179" s="21">
        <v>11.9</v>
      </c>
      <c r="I179" s="16">
        <v>11.7</v>
      </c>
      <c r="J179" s="52">
        <v>0.97034195349999997</v>
      </c>
      <c r="K179" s="70">
        <f t="shared" si="34"/>
        <v>62.280112436143334</v>
      </c>
      <c r="L179" s="70">
        <f t="shared" si="35"/>
        <v>29.520746608002675</v>
      </c>
      <c r="M179" s="70">
        <f t="shared" si="31"/>
        <v>40.415224941000005</v>
      </c>
      <c r="N179" s="68">
        <f t="shared" si="32"/>
        <v>77.335483570311951</v>
      </c>
      <c r="O179" s="69">
        <f t="shared" si="36"/>
        <v>81.831851166643958</v>
      </c>
      <c r="P179" s="69">
        <f t="shared" si="37"/>
        <v>89.870343422699335</v>
      </c>
      <c r="Q179" s="69">
        <f t="shared" si="38"/>
        <v>90.62974277157177</v>
      </c>
      <c r="R179" s="69">
        <f t="shared" si="33"/>
        <v>112.65513744810222</v>
      </c>
    </row>
  </sheetData>
  <autoFilter ref="A1:R179" xr:uid="{1FB020A2-2354-483B-8092-DB6633414853}"/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A91B-6BBC-4F0F-AABB-452358CB9309}">
  <dimension ref="A1:D183"/>
  <sheetViews>
    <sheetView topLeftCell="A124" zoomScale="90" zoomScaleNormal="90" workbookViewId="0">
      <selection activeCell="C145" sqref="C145"/>
    </sheetView>
  </sheetViews>
  <sheetFormatPr defaultRowHeight="14.4" x14ac:dyDescent="0.3"/>
  <cols>
    <col min="1" max="1" width="42.44140625" style="2" bestFit="1" customWidth="1"/>
    <col min="2" max="2" width="20.109375" bestFit="1" customWidth="1"/>
    <col min="3" max="3" width="16.109375" bestFit="1" customWidth="1"/>
    <col min="4" max="4" width="16.44140625" style="2" bestFit="1" customWidth="1"/>
  </cols>
  <sheetData>
    <row r="1" spans="1:4" x14ac:dyDescent="0.3">
      <c r="A1" s="58" t="s">
        <v>89</v>
      </c>
      <c r="B1" s="58" t="s">
        <v>103</v>
      </c>
      <c r="C1" s="58" t="s">
        <v>104</v>
      </c>
      <c r="D1" s="83" t="s">
        <v>105</v>
      </c>
    </row>
    <row r="2" spans="1:4" x14ac:dyDescent="0.3">
      <c r="A2" s="58" t="s">
        <v>67</v>
      </c>
      <c r="B2" s="82">
        <v>0.6</v>
      </c>
      <c r="C2" s="82">
        <v>0.6</v>
      </c>
      <c r="D2" s="82">
        <f>_xlfn.STDEV.P(C2)</f>
        <v>0</v>
      </c>
    </row>
    <row r="3" spans="1:4" x14ac:dyDescent="0.3">
      <c r="A3" s="58" t="s">
        <v>80</v>
      </c>
      <c r="B3" s="82">
        <v>0.62</v>
      </c>
      <c r="C3" s="109">
        <f>AVERAGE(B3:B10)</f>
        <v>0.83535000000000004</v>
      </c>
      <c r="D3" s="108">
        <f>_xlfn.STDEV.P(B3:B10)</f>
        <v>9.8001823962618126E-2</v>
      </c>
    </row>
    <row r="4" spans="1:4" x14ac:dyDescent="0.3">
      <c r="A4" s="58" t="s">
        <v>80</v>
      </c>
      <c r="B4" s="82">
        <v>0.86</v>
      </c>
      <c r="C4" s="110"/>
      <c r="D4" s="108"/>
    </row>
    <row r="5" spans="1:4" x14ac:dyDescent="0.3">
      <c r="A5" s="58" t="s">
        <v>80</v>
      </c>
      <c r="B5" s="82">
        <v>0.86</v>
      </c>
      <c r="C5" s="110"/>
      <c r="D5" s="108"/>
    </row>
    <row r="6" spans="1:4" x14ac:dyDescent="0.3">
      <c r="A6" s="58" t="s">
        <v>80</v>
      </c>
      <c r="B6" s="82">
        <v>0.99</v>
      </c>
      <c r="C6" s="110"/>
      <c r="D6" s="108"/>
    </row>
    <row r="7" spans="1:4" x14ac:dyDescent="0.3">
      <c r="A7" s="58" t="s">
        <v>80</v>
      </c>
      <c r="B7" s="82">
        <v>0.84279999999999999</v>
      </c>
      <c r="C7" s="110"/>
      <c r="D7" s="108"/>
    </row>
    <row r="8" spans="1:4" x14ac:dyDescent="0.3">
      <c r="A8" s="58" t="s">
        <v>80</v>
      </c>
      <c r="B8" s="82">
        <v>0.88</v>
      </c>
      <c r="C8" s="110"/>
      <c r="D8" s="108"/>
    </row>
    <row r="9" spans="1:4" x14ac:dyDescent="0.3">
      <c r="A9" s="58" t="s">
        <v>80</v>
      </c>
      <c r="B9" s="82">
        <v>0.78</v>
      </c>
      <c r="C9" s="110"/>
      <c r="D9" s="108"/>
    </row>
    <row r="10" spans="1:4" x14ac:dyDescent="0.3">
      <c r="A10" s="58" t="s">
        <v>80</v>
      </c>
      <c r="B10" s="82">
        <v>0.85</v>
      </c>
      <c r="C10" s="111"/>
      <c r="D10" s="108"/>
    </row>
    <row r="11" spans="1:4" x14ac:dyDescent="0.3">
      <c r="A11" s="58" t="s">
        <v>53</v>
      </c>
      <c r="B11" s="82">
        <v>0.54</v>
      </c>
      <c r="C11" s="109">
        <f>AVERAGE(B11:B19)</f>
        <v>0.71097777777777793</v>
      </c>
      <c r="D11" s="108">
        <f>_xlfn.STDEV.P(B11:B19)</f>
        <v>9.7537705276559514E-2</v>
      </c>
    </row>
    <row r="12" spans="1:4" x14ac:dyDescent="0.3">
      <c r="A12" s="58" t="s">
        <v>53</v>
      </c>
      <c r="B12" s="82">
        <v>0.69</v>
      </c>
      <c r="C12" s="110"/>
      <c r="D12" s="108"/>
    </row>
    <row r="13" spans="1:4" x14ac:dyDescent="0.3">
      <c r="A13" s="58" t="s">
        <v>53</v>
      </c>
      <c r="B13" s="82">
        <v>0.77</v>
      </c>
      <c r="C13" s="110"/>
      <c r="D13" s="108"/>
    </row>
    <row r="14" spans="1:4" x14ac:dyDescent="0.3">
      <c r="A14" s="58" t="s">
        <v>53</v>
      </c>
      <c r="B14" s="82">
        <v>0.65</v>
      </c>
      <c r="C14" s="110"/>
      <c r="D14" s="108"/>
    </row>
    <row r="15" spans="1:4" x14ac:dyDescent="0.3">
      <c r="A15" s="58" t="s">
        <v>53</v>
      </c>
      <c r="B15" s="82">
        <v>0.79</v>
      </c>
      <c r="C15" s="110"/>
      <c r="D15" s="108"/>
    </row>
    <row r="16" spans="1:4" x14ac:dyDescent="0.3">
      <c r="A16" s="58" t="s">
        <v>53</v>
      </c>
      <c r="B16" s="82">
        <v>0.85</v>
      </c>
      <c r="C16" s="110"/>
      <c r="D16" s="108"/>
    </row>
    <row r="17" spans="1:4" x14ac:dyDescent="0.3">
      <c r="A17" s="58" t="s">
        <v>53</v>
      </c>
      <c r="B17" s="82">
        <v>0.58479999999999999</v>
      </c>
      <c r="C17" s="110"/>
      <c r="D17" s="108"/>
    </row>
    <row r="18" spans="1:4" x14ac:dyDescent="0.3">
      <c r="A18" s="58" t="s">
        <v>53</v>
      </c>
      <c r="B18" s="82">
        <v>0.73</v>
      </c>
      <c r="C18" s="110"/>
      <c r="D18" s="108"/>
    </row>
    <row r="19" spans="1:4" x14ac:dyDescent="0.3">
      <c r="A19" s="58" t="s">
        <v>53</v>
      </c>
      <c r="B19" s="82">
        <v>0.79400000000000004</v>
      </c>
      <c r="C19" s="111"/>
      <c r="D19" s="108"/>
    </row>
    <row r="20" spans="1:4" x14ac:dyDescent="0.3">
      <c r="A20" s="58" t="s">
        <v>56</v>
      </c>
      <c r="B20" s="82">
        <v>0.44</v>
      </c>
      <c r="C20" s="109">
        <f>AVERAGE(B20:B25)</f>
        <v>0.46216666666666661</v>
      </c>
      <c r="D20" s="108">
        <f>_xlfn.STDEV.P(B20:B25)</f>
        <v>7.3870193959103853E-2</v>
      </c>
    </row>
    <row r="21" spans="1:4" x14ac:dyDescent="0.3">
      <c r="A21" s="58" t="s">
        <v>56</v>
      </c>
      <c r="B21" s="82">
        <v>0.55000000000000004</v>
      </c>
      <c r="C21" s="110"/>
      <c r="D21" s="108"/>
    </row>
    <row r="22" spans="1:4" x14ac:dyDescent="0.3">
      <c r="A22" s="58" t="s">
        <v>56</v>
      </c>
      <c r="B22" s="82">
        <v>0.55000000000000004</v>
      </c>
      <c r="C22" s="110"/>
      <c r="D22" s="108"/>
    </row>
    <row r="23" spans="1:4" x14ac:dyDescent="0.3">
      <c r="A23" s="58" t="s">
        <v>56</v>
      </c>
      <c r="B23" s="82">
        <v>0.42</v>
      </c>
      <c r="C23" s="110"/>
      <c r="D23" s="108"/>
    </row>
    <row r="24" spans="1:4" x14ac:dyDescent="0.3">
      <c r="A24" s="58" t="s">
        <v>56</v>
      </c>
      <c r="B24" s="82">
        <v>0.47299999999999998</v>
      </c>
      <c r="C24" s="110"/>
      <c r="D24" s="108"/>
    </row>
    <row r="25" spans="1:4" x14ac:dyDescent="0.3">
      <c r="A25" s="58" t="s">
        <v>56</v>
      </c>
      <c r="B25" s="82">
        <v>0.34</v>
      </c>
      <c r="C25" s="111"/>
      <c r="D25" s="108"/>
    </row>
    <row r="26" spans="1:4" x14ac:dyDescent="0.3">
      <c r="A26" s="58" t="s">
        <v>87</v>
      </c>
      <c r="B26" s="82">
        <v>0.18</v>
      </c>
      <c r="C26" s="109">
        <f>AVERAGE(B26:B29)</f>
        <v>0.31090000000000001</v>
      </c>
      <c r="D26" s="108">
        <f>_xlfn.STDEV.P(B26:B29)</f>
        <v>0.14812302319356027</v>
      </c>
    </row>
    <row r="27" spans="1:4" x14ac:dyDescent="0.3">
      <c r="A27" s="58" t="s">
        <v>87</v>
      </c>
      <c r="B27" s="82">
        <v>0.28000000000000003</v>
      </c>
      <c r="C27" s="110"/>
      <c r="D27" s="108"/>
    </row>
    <row r="28" spans="1:4" x14ac:dyDescent="0.3">
      <c r="A28" s="58" t="s">
        <v>87</v>
      </c>
      <c r="B28" s="82">
        <v>0.56000000000000005</v>
      </c>
      <c r="C28" s="110"/>
      <c r="D28" s="108"/>
    </row>
    <row r="29" spans="1:4" x14ac:dyDescent="0.3">
      <c r="A29" s="58" t="s">
        <v>87</v>
      </c>
      <c r="B29" s="82">
        <v>0.22359999999999999</v>
      </c>
      <c r="C29" s="111"/>
      <c r="D29" s="108"/>
    </row>
    <row r="30" spans="1:4" x14ac:dyDescent="0.3">
      <c r="A30" s="58" t="s">
        <v>52</v>
      </c>
      <c r="B30" s="82">
        <v>0.55000000000000004</v>
      </c>
      <c r="C30" s="109">
        <f>AVERAGE(B30:B33)</f>
        <v>0.61499999999999999</v>
      </c>
      <c r="D30" s="108">
        <f>_xlfn.STDEV.P(B30:B33)</f>
        <v>7.8898669190297727E-2</v>
      </c>
    </row>
    <row r="31" spans="1:4" x14ac:dyDescent="0.3">
      <c r="A31" s="58" t="s">
        <v>52</v>
      </c>
      <c r="B31" s="82">
        <v>0.57999999999999996</v>
      </c>
      <c r="C31" s="110"/>
      <c r="D31" s="108"/>
    </row>
    <row r="32" spans="1:4" x14ac:dyDescent="0.3">
      <c r="A32" s="58" t="s">
        <v>52</v>
      </c>
      <c r="B32" s="82">
        <v>0.75</v>
      </c>
      <c r="C32" s="110"/>
      <c r="D32" s="108"/>
    </row>
    <row r="33" spans="1:4" x14ac:dyDescent="0.3">
      <c r="A33" s="58" t="s">
        <v>52</v>
      </c>
      <c r="B33" s="82">
        <v>0.57999999999999996</v>
      </c>
      <c r="C33" s="111"/>
      <c r="D33" s="108"/>
    </row>
    <row r="34" spans="1:4" x14ac:dyDescent="0.3">
      <c r="A34" s="58" t="s">
        <v>73</v>
      </c>
      <c r="B34" s="82">
        <v>0.4</v>
      </c>
      <c r="C34" s="109">
        <f>AVERAGE(B34:B35)</f>
        <v>0.48499999999999999</v>
      </c>
      <c r="D34" s="108">
        <f>_xlfn.STDEV.P(B34:B35)</f>
        <v>8.5000000000000048E-2</v>
      </c>
    </row>
    <row r="35" spans="1:4" x14ac:dyDescent="0.3">
      <c r="A35" s="58" t="s">
        <v>73</v>
      </c>
      <c r="B35" s="82">
        <v>0.56999999999999995</v>
      </c>
      <c r="C35" s="111"/>
      <c r="D35" s="108"/>
    </row>
    <row r="36" spans="1:4" x14ac:dyDescent="0.3">
      <c r="A36" s="58" t="s">
        <v>72</v>
      </c>
      <c r="B36" s="82">
        <v>0.52</v>
      </c>
      <c r="C36" s="109">
        <f>AVERAGE(B36:B39)</f>
        <v>0.63</v>
      </c>
      <c r="D36" s="108">
        <f>_xlfn.STDEV.P(B36:B39)</f>
        <v>7.5498344352707011E-2</v>
      </c>
    </row>
    <row r="37" spans="1:4" x14ac:dyDescent="0.3">
      <c r="A37" s="58" t="s">
        <v>72</v>
      </c>
      <c r="B37" s="82">
        <v>0.7</v>
      </c>
      <c r="C37" s="110"/>
      <c r="D37" s="108"/>
    </row>
    <row r="38" spans="1:4" x14ac:dyDescent="0.3">
      <c r="A38" s="58" t="s">
        <v>72</v>
      </c>
      <c r="B38" s="82">
        <v>0.7</v>
      </c>
      <c r="C38" s="110"/>
      <c r="D38" s="108"/>
    </row>
    <row r="39" spans="1:4" x14ac:dyDescent="0.3">
      <c r="A39" s="58" t="s">
        <v>72</v>
      </c>
      <c r="B39" s="82">
        <v>0.6</v>
      </c>
      <c r="C39" s="111"/>
      <c r="D39" s="108"/>
    </row>
    <row r="40" spans="1:4" x14ac:dyDescent="0.3">
      <c r="A40" s="58" t="s">
        <v>36</v>
      </c>
      <c r="B40" s="82">
        <v>0.4</v>
      </c>
      <c r="C40" s="109">
        <f>AVERAGE(B40:B42)</f>
        <v>0.49666666666666665</v>
      </c>
      <c r="D40" s="108">
        <f>_xlfn.STDEV.P(B40:B42)</f>
        <v>8.1785627642568665E-2</v>
      </c>
    </row>
    <row r="41" spans="1:4" x14ac:dyDescent="0.3">
      <c r="A41" s="58" t="s">
        <v>36</v>
      </c>
      <c r="B41" s="82">
        <v>0.49</v>
      </c>
      <c r="C41" s="110"/>
      <c r="D41" s="108"/>
    </row>
    <row r="42" spans="1:4" x14ac:dyDescent="0.3">
      <c r="A42" s="58" t="s">
        <v>36</v>
      </c>
      <c r="B42" s="82">
        <v>0.6</v>
      </c>
      <c r="C42" s="111"/>
      <c r="D42" s="108"/>
    </row>
    <row r="43" spans="1:4" x14ac:dyDescent="0.3">
      <c r="A43" s="58" t="s">
        <v>29</v>
      </c>
      <c r="B43" s="82">
        <v>0.73</v>
      </c>
      <c r="C43" s="109">
        <f>AVERAGE(B43:B48)</f>
        <v>0.93666666666666665</v>
      </c>
      <c r="D43" s="108">
        <f>_xlfn.STDEV.P(B43:B48)</f>
        <v>0.12064640713902582</v>
      </c>
    </row>
    <row r="44" spans="1:4" x14ac:dyDescent="0.3">
      <c r="A44" s="58" t="s">
        <v>29</v>
      </c>
      <c r="B44" s="82">
        <v>0.98</v>
      </c>
      <c r="C44" s="110"/>
      <c r="D44" s="108"/>
    </row>
    <row r="45" spans="1:4" x14ac:dyDescent="0.3">
      <c r="A45" s="58" t="s">
        <v>29</v>
      </c>
      <c r="B45" s="82">
        <v>1.1000000000000001</v>
      </c>
      <c r="C45" s="110"/>
      <c r="D45" s="108"/>
    </row>
    <row r="46" spans="1:4" x14ac:dyDescent="0.3">
      <c r="A46" s="58" t="s">
        <v>29</v>
      </c>
      <c r="B46" s="82">
        <v>0.89</v>
      </c>
      <c r="C46" s="110"/>
      <c r="D46" s="108"/>
    </row>
    <row r="47" spans="1:4" x14ac:dyDescent="0.3">
      <c r="A47" s="58" t="s">
        <v>29</v>
      </c>
      <c r="B47" s="82">
        <v>1.04</v>
      </c>
      <c r="C47" s="110"/>
      <c r="D47" s="108"/>
    </row>
    <row r="48" spans="1:4" x14ac:dyDescent="0.3">
      <c r="A48" s="58" t="s">
        <v>29</v>
      </c>
      <c r="B48" s="82">
        <v>0.88</v>
      </c>
      <c r="C48" s="111"/>
      <c r="D48" s="108"/>
    </row>
    <row r="49" spans="1:4" x14ac:dyDescent="0.3">
      <c r="A49" s="58" t="s">
        <v>82</v>
      </c>
      <c r="B49" s="82">
        <v>0.42</v>
      </c>
      <c r="C49" s="109">
        <f>AVERAGE(B49:B55)</f>
        <v>0.38347999999999999</v>
      </c>
      <c r="D49" s="108">
        <f>_xlfn.STDEV.P(B49:B55)</f>
        <v>7.8551774372975641E-2</v>
      </c>
    </row>
    <row r="50" spans="1:4" x14ac:dyDescent="0.3">
      <c r="A50" s="58" t="s">
        <v>82</v>
      </c>
      <c r="B50" s="82">
        <v>0.53</v>
      </c>
      <c r="C50" s="110"/>
      <c r="D50" s="108"/>
    </row>
    <row r="51" spans="1:4" x14ac:dyDescent="0.3">
      <c r="A51" s="58" t="s">
        <v>82</v>
      </c>
      <c r="B51" s="82">
        <v>0.33539999999999998</v>
      </c>
      <c r="C51" s="110"/>
      <c r="D51" s="108"/>
    </row>
    <row r="52" spans="1:4" x14ac:dyDescent="0.3">
      <c r="A52" s="58" t="s">
        <v>82</v>
      </c>
      <c r="B52" s="82">
        <v>0.28895999999999999</v>
      </c>
      <c r="C52" s="110"/>
      <c r="D52" s="108"/>
    </row>
    <row r="53" spans="1:4" x14ac:dyDescent="0.3">
      <c r="A53" s="58" t="s">
        <v>82</v>
      </c>
      <c r="B53" s="82">
        <v>0.38</v>
      </c>
      <c r="C53" s="110"/>
      <c r="D53" s="108"/>
    </row>
    <row r="54" spans="1:4" x14ac:dyDescent="0.3">
      <c r="A54" s="58" t="s">
        <v>82</v>
      </c>
      <c r="B54" s="82">
        <v>0.43</v>
      </c>
      <c r="C54" s="110"/>
      <c r="D54" s="108"/>
    </row>
    <row r="55" spans="1:4" x14ac:dyDescent="0.3">
      <c r="A55" s="58" t="s">
        <v>82</v>
      </c>
      <c r="B55" s="82">
        <v>0.3</v>
      </c>
      <c r="C55" s="111"/>
      <c r="D55" s="108"/>
    </row>
    <row r="56" spans="1:4" x14ac:dyDescent="0.3">
      <c r="A56" s="58" t="s">
        <v>85</v>
      </c>
      <c r="B56" s="82">
        <v>0.4</v>
      </c>
      <c r="C56" s="82">
        <v>0.4</v>
      </c>
      <c r="D56" s="82">
        <f>_xlfn.STDEV.P(B56)</f>
        <v>0</v>
      </c>
    </row>
    <row r="57" spans="1:4" x14ac:dyDescent="0.3">
      <c r="A57" s="58" t="s">
        <v>79</v>
      </c>
      <c r="B57" s="82">
        <v>0.75</v>
      </c>
      <c r="C57" s="109">
        <f>AVERAGE(B57:B75)</f>
        <v>0.78982526315789459</v>
      </c>
      <c r="D57" s="108">
        <f>_xlfn.STDEV.P(B57:B75)</f>
        <v>7.1394752230002023E-2</v>
      </c>
    </row>
    <row r="58" spans="1:4" x14ac:dyDescent="0.3">
      <c r="A58" s="58" t="s">
        <v>79</v>
      </c>
      <c r="B58" s="82">
        <v>0.74</v>
      </c>
      <c r="C58" s="110"/>
      <c r="D58" s="108"/>
    </row>
    <row r="59" spans="1:4" x14ac:dyDescent="0.3">
      <c r="A59" s="58" t="s">
        <v>79</v>
      </c>
      <c r="B59" s="82">
        <v>0.82</v>
      </c>
      <c r="C59" s="110"/>
      <c r="D59" s="108"/>
    </row>
    <row r="60" spans="1:4" x14ac:dyDescent="0.3">
      <c r="A60" s="58" t="s">
        <v>79</v>
      </c>
      <c r="B60" s="82">
        <v>0.76500000000000001</v>
      </c>
      <c r="C60" s="110"/>
      <c r="D60" s="108"/>
    </row>
    <row r="61" spans="1:4" x14ac:dyDescent="0.3">
      <c r="A61" s="58" t="s">
        <v>79</v>
      </c>
      <c r="B61" s="82">
        <v>0.96</v>
      </c>
      <c r="C61" s="110"/>
      <c r="D61" s="108"/>
    </row>
    <row r="62" spans="1:4" x14ac:dyDescent="0.3">
      <c r="A62" s="58" t="s">
        <v>79</v>
      </c>
      <c r="B62" s="82">
        <v>0.79</v>
      </c>
      <c r="C62" s="110"/>
      <c r="D62" s="108"/>
    </row>
    <row r="63" spans="1:4" x14ac:dyDescent="0.3">
      <c r="A63" s="58" t="s">
        <v>79</v>
      </c>
      <c r="B63" s="82">
        <v>0.7</v>
      </c>
      <c r="C63" s="110"/>
      <c r="D63" s="108"/>
    </row>
    <row r="64" spans="1:4" x14ac:dyDescent="0.3">
      <c r="A64" s="58" t="s">
        <v>79</v>
      </c>
      <c r="B64" s="82">
        <v>0.9</v>
      </c>
      <c r="C64" s="110"/>
      <c r="D64" s="108"/>
    </row>
    <row r="65" spans="1:4" x14ac:dyDescent="0.3">
      <c r="A65" s="58" t="s">
        <v>79</v>
      </c>
      <c r="B65" s="82">
        <v>0.68</v>
      </c>
      <c r="C65" s="110"/>
      <c r="D65" s="108"/>
    </row>
    <row r="66" spans="1:4" x14ac:dyDescent="0.3">
      <c r="A66" s="58" t="s">
        <v>79</v>
      </c>
      <c r="B66" s="82">
        <v>0.71</v>
      </c>
      <c r="C66" s="110"/>
      <c r="D66" s="108"/>
    </row>
    <row r="67" spans="1:4" x14ac:dyDescent="0.3">
      <c r="A67" s="58" t="s">
        <v>79</v>
      </c>
      <c r="B67" s="82">
        <v>0.75768000000000002</v>
      </c>
      <c r="C67" s="110"/>
      <c r="D67" s="108"/>
    </row>
    <row r="68" spans="1:4" x14ac:dyDescent="0.3">
      <c r="A68" s="58" t="s">
        <v>79</v>
      </c>
      <c r="B68" s="82">
        <v>0.8</v>
      </c>
      <c r="C68" s="110"/>
      <c r="D68" s="108"/>
    </row>
    <row r="69" spans="1:4" x14ac:dyDescent="0.3">
      <c r="A69" s="58" t="s">
        <v>79</v>
      </c>
      <c r="B69" s="82">
        <v>0.77</v>
      </c>
      <c r="C69" s="110"/>
      <c r="D69" s="108"/>
    </row>
    <row r="70" spans="1:4" x14ac:dyDescent="0.3">
      <c r="A70" s="58" t="s">
        <v>79</v>
      </c>
      <c r="B70" s="82">
        <v>0.85699999999999998</v>
      </c>
      <c r="C70" s="110"/>
      <c r="D70" s="108"/>
    </row>
    <row r="71" spans="1:4" x14ac:dyDescent="0.3">
      <c r="A71" s="58" t="s">
        <v>79</v>
      </c>
      <c r="B71" s="82">
        <v>0.85699999999999998</v>
      </c>
      <c r="C71" s="110"/>
      <c r="D71" s="108"/>
    </row>
    <row r="72" spans="1:4" x14ac:dyDescent="0.3">
      <c r="A72" s="58" t="s">
        <v>79</v>
      </c>
      <c r="B72" s="82">
        <v>0.86</v>
      </c>
      <c r="C72" s="110"/>
      <c r="D72" s="108"/>
    </row>
    <row r="73" spans="1:4" x14ac:dyDescent="0.3">
      <c r="A73" s="58" t="s">
        <v>79</v>
      </c>
      <c r="B73" s="82">
        <v>0.82</v>
      </c>
      <c r="C73" s="110"/>
      <c r="D73" s="108"/>
    </row>
    <row r="74" spans="1:4" x14ac:dyDescent="0.3">
      <c r="A74" s="58" t="s">
        <v>79</v>
      </c>
      <c r="B74" s="82">
        <v>0.71</v>
      </c>
      <c r="C74" s="110"/>
      <c r="D74" s="108"/>
    </row>
    <row r="75" spans="1:4" x14ac:dyDescent="0.3">
      <c r="A75" s="58" t="s">
        <v>79</v>
      </c>
      <c r="B75" s="82">
        <v>0.76</v>
      </c>
      <c r="C75" s="111"/>
      <c r="D75" s="108"/>
    </row>
    <row r="76" spans="1:4" x14ac:dyDescent="0.3">
      <c r="A76" s="58" t="s">
        <v>74</v>
      </c>
      <c r="B76" s="82">
        <v>0.5</v>
      </c>
      <c r="C76" s="109">
        <f>AVERAGE(B76:B77)</f>
        <v>0.59000000000000008</v>
      </c>
      <c r="D76" s="108">
        <f>_xlfn.STDEV.P(B76:B77)</f>
        <v>8.9999999999999983E-2</v>
      </c>
    </row>
    <row r="77" spans="1:4" x14ac:dyDescent="0.3">
      <c r="A77" s="58" t="s">
        <v>74</v>
      </c>
      <c r="B77" s="82">
        <v>0.68</v>
      </c>
      <c r="C77" s="111"/>
      <c r="D77" s="108"/>
    </row>
    <row r="78" spans="1:4" x14ac:dyDescent="0.3">
      <c r="A78" s="58" t="s">
        <v>83</v>
      </c>
      <c r="B78" s="82">
        <v>0.53</v>
      </c>
      <c r="C78" s="109">
        <f>AVERAGE(B78:B81)</f>
        <v>0.55479999999999996</v>
      </c>
      <c r="D78" s="108">
        <f>_xlfn.STDEV.P(B78:B81)</f>
        <v>4.9613707783232645E-2</v>
      </c>
    </row>
    <row r="79" spans="1:4" x14ac:dyDescent="0.3">
      <c r="A79" s="58" t="s">
        <v>83</v>
      </c>
      <c r="B79" s="82">
        <v>0.64</v>
      </c>
      <c r="C79" s="110"/>
      <c r="D79" s="108"/>
    </row>
    <row r="80" spans="1:4" x14ac:dyDescent="0.3">
      <c r="A80" s="58" t="s">
        <v>83</v>
      </c>
      <c r="B80" s="82">
        <v>0.53320000000000001</v>
      </c>
      <c r="C80" s="110"/>
      <c r="D80" s="108"/>
    </row>
    <row r="81" spans="1:4" x14ac:dyDescent="0.3">
      <c r="A81" s="58" t="s">
        <v>83</v>
      </c>
      <c r="B81" s="82">
        <v>0.51600000000000001</v>
      </c>
      <c r="C81" s="111"/>
      <c r="D81" s="108"/>
    </row>
    <row r="82" spans="1:4" x14ac:dyDescent="0.3">
      <c r="A82" s="58" t="s">
        <v>66</v>
      </c>
      <c r="B82" s="82">
        <v>0.6</v>
      </c>
      <c r="C82" s="109">
        <f>AVERAGE(B82:B83)</f>
        <v>0.63</v>
      </c>
      <c r="D82" s="108">
        <f>_xlfn.STDEV.P(B82:B83)</f>
        <v>3.0000000000000027E-2</v>
      </c>
    </row>
    <row r="83" spans="1:4" x14ac:dyDescent="0.3">
      <c r="A83" s="58" t="s">
        <v>66</v>
      </c>
      <c r="B83" s="82">
        <v>0.66</v>
      </c>
      <c r="C83" s="111"/>
      <c r="D83" s="108"/>
    </row>
    <row r="84" spans="1:4" x14ac:dyDescent="0.3">
      <c r="A84" s="58" t="s">
        <v>48</v>
      </c>
      <c r="B84" s="82">
        <v>0.66</v>
      </c>
      <c r="C84" s="82">
        <v>0.66</v>
      </c>
      <c r="D84" s="82">
        <f>_xlfn.STDEV.P(B84)</f>
        <v>0</v>
      </c>
    </row>
    <row r="85" spans="1:4" x14ac:dyDescent="0.3">
      <c r="A85" s="58" t="s">
        <v>75</v>
      </c>
      <c r="B85" s="82">
        <v>0.8</v>
      </c>
      <c r="C85" s="82">
        <v>0.8</v>
      </c>
      <c r="D85" s="82">
        <v>0</v>
      </c>
    </row>
    <row r="86" spans="1:4" x14ac:dyDescent="0.3">
      <c r="A86" s="58" t="s">
        <v>58</v>
      </c>
      <c r="B86" s="82">
        <v>0.95499999999999996</v>
      </c>
      <c r="C86" s="82">
        <v>0.95499999999999996</v>
      </c>
      <c r="D86" s="82">
        <v>0</v>
      </c>
    </row>
    <row r="87" spans="1:4" x14ac:dyDescent="0.3">
      <c r="A87" s="58" t="s">
        <v>55</v>
      </c>
      <c r="B87" s="82">
        <v>0.78</v>
      </c>
      <c r="C87" s="109">
        <f>AVERAGE(B87:B93)</f>
        <v>0.81794285714285719</v>
      </c>
      <c r="D87" s="108">
        <f>_xlfn.STDEV.P(B87:B93)</f>
        <v>6.3472983164782254E-2</v>
      </c>
    </row>
    <row r="88" spans="1:4" x14ac:dyDescent="0.3">
      <c r="A88" s="58" t="s">
        <v>55</v>
      </c>
      <c r="B88" s="82">
        <v>0.95</v>
      </c>
      <c r="C88" s="110"/>
      <c r="D88" s="108"/>
    </row>
    <row r="89" spans="1:4" x14ac:dyDescent="0.3">
      <c r="A89" s="58" t="s">
        <v>55</v>
      </c>
      <c r="B89" s="82">
        <v>0.78</v>
      </c>
      <c r="C89" s="110"/>
      <c r="D89" s="108"/>
    </row>
    <row r="90" spans="1:4" x14ac:dyDescent="0.3">
      <c r="A90" s="58" t="s">
        <v>55</v>
      </c>
      <c r="B90" s="82">
        <v>0.86</v>
      </c>
      <c r="C90" s="110"/>
      <c r="D90" s="108"/>
    </row>
    <row r="91" spans="1:4" x14ac:dyDescent="0.3">
      <c r="A91" s="58" t="s">
        <v>55</v>
      </c>
      <c r="B91" s="82">
        <v>0.8256</v>
      </c>
      <c r="C91" s="110"/>
      <c r="D91" s="108"/>
    </row>
    <row r="92" spans="1:4" x14ac:dyDescent="0.3">
      <c r="A92" s="58" t="s">
        <v>55</v>
      </c>
      <c r="B92" s="82">
        <v>0.78</v>
      </c>
      <c r="C92" s="110"/>
      <c r="D92" s="108"/>
    </row>
    <row r="93" spans="1:4" x14ac:dyDescent="0.3">
      <c r="A93" s="58" t="s">
        <v>55</v>
      </c>
      <c r="B93" s="82">
        <v>0.75</v>
      </c>
      <c r="C93" s="111"/>
      <c r="D93" s="108"/>
    </row>
    <row r="94" spans="1:4" x14ac:dyDescent="0.3">
      <c r="A94" s="58" t="s">
        <v>76</v>
      </c>
      <c r="B94" s="82">
        <v>1.07</v>
      </c>
      <c r="C94" s="109">
        <f>AVERAGE(B94:B96)</f>
        <v>0.76666666666666661</v>
      </c>
      <c r="D94" s="108">
        <f>_xlfn.STDEV.P(B94:B96)</f>
        <v>0.22305953365762166</v>
      </c>
    </row>
    <row r="95" spans="1:4" x14ac:dyDescent="0.3">
      <c r="A95" s="58" t="s">
        <v>76</v>
      </c>
      <c r="B95" s="82">
        <v>0.54</v>
      </c>
      <c r="C95" s="110"/>
      <c r="D95" s="108"/>
    </row>
    <row r="96" spans="1:4" x14ac:dyDescent="0.3">
      <c r="A96" s="58" t="s">
        <v>76</v>
      </c>
      <c r="B96" s="82">
        <v>0.69</v>
      </c>
      <c r="C96" s="111"/>
      <c r="D96" s="108"/>
    </row>
    <row r="97" spans="1:4" x14ac:dyDescent="0.3">
      <c r="A97" s="58" t="s">
        <v>19</v>
      </c>
      <c r="B97" s="82">
        <v>0.53</v>
      </c>
      <c r="C97" s="109">
        <f>AVERAGE(B97:B103)</f>
        <v>0.69991428571428571</v>
      </c>
      <c r="D97" s="108">
        <f>_xlfn.STDEV.P(B97:B103)</f>
        <v>8.0492331996309341E-2</v>
      </c>
    </row>
    <row r="98" spans="1:4" x14ac:dyDescent="0.3">
      <c r="A98" s="58" t="s">
        <v>19</v>
      </c>
      <c r="B98" s="82">
        <v>0.65</v>
      </c>
      <c r="C98" s="110"/>
      <c r="D98" s="108"/>
    </row>
    <row r="99" spans="1:4" x14ac:dyDescent="0.3">
      <c r="A99" s="58" t="s">
        <v>19</v>
      </c>
      <c r="B99" s="82">
        <v>0.74</v>
      </c>
      <c r="C99" s="110"/>
      <c r="D99" s="108"/>
    </row>
    <row r="100" spans="1:4" x14ac:dyDescent="0.3">
      <c r="A100" s="58" t="s">
        <v>19</v>
      </c>
      <c r="B100" s="82">
        <v>0.69</v>
      </c>
      <c r="C100" s="110"/>
      <c r="D100" s="108"/>
    </row>
    <row r="101" spans="1:4" x14ac:dyDescent="0.3">
      <c r="A101" s="58" t="s">
        <v>19</v>
      </c>
      <c r="B101" s="82">
        <v>0.76539999999999997</v>
      </c>
      <c r="C101" s="110"/>
      <c r="D101" s="108"/>
    </row>
    <row r="102" spans="1:4" x14ac:dyDescent="0.3">
      <c r="A102" s="58" t="s">
        <v>19</v>
      </c>
      <c r="B102" s="82">
        <v>0.77400000000000002</v>
      </c>
      <c r="C102" s="110"/>
      <c r="D102" s="108"/>
    </row>
    <row r="103" spans="1:4" x14ac:dyDescent="0.3">
      <c r="A103" s="58" t="s">
        <v>19</v>
      </c>
      <c r="B103" s="82">
        <v>0.75</v>
      </c>
      <c r="C103" s="111"/>
      <c r="D103" s="108"/>
    </row>
    <row r="104" spans="1:4" x14ac:dyDescent="0.3">
      <c r="A104" s="58" t="s">
        <v>81</v>
      </c>
      <c r="B104" s="82">
        <v>0.54</v>
      </c>
      <c r="C104" s="109">
        <f>AVERAGE(B104:B107)</f>
        <v>0.63750000000000007</v>
      </c>
      <c r="D104" s="108">
        <f>_xlfn.STDEV.P(B104:B107)</f>
        <v>8.2575722824568293E-2</v>
      </c>
    </row>
    <row r="105" spans="1:4" x14ac:dyDescent="0.3">
      <c r="A105" s="58" t="s">
        <v>81</v>
      </c>
      <c r="B105" s="82">
        <v>0.57999999999999996</v>
      </c>
      <c r="C105" s="110"/>
      <c r="D105" s="108"/>
    </row>
    <row r="106" spans="1:4" x14ac:dyDescent="0.3">
      <c r="A106" s="58" t="s">
        <v>81</v>
      </c>
      <c r="B106" s="82">
        <v>0.68</v>
      </c>
      <c r="C106" s="110"/>
      <c r="D106" s="108"/>
    </row>
    <row r="107" spans="1:4" x14ac:dyDescent="0.3">
      <c r="A107" s="58" t="s">
        <v>81</v>
      </c>
      <c r="B107" s="82">
        <v>0.75</v>
      </c>
      <c r="C107" s="111"/>
      <c r="D107" s="108"/>
    </row>
    <row r="108" spans="1:4" x14ac:dyDescent="0.3">
      <c r="A108" s="58" t="s">
        <v>88</v>
      </c>
      <c r="B108" s="82">
        <v>0.81</v>
      </c>
      <c r="C108" s="109">
        <f>AVERAGE(B108:B109)</f>
        <v>0.9</v>
      </c>
      <c r="D108" s="108">
        <f>_xlfn.STDEV.P(B108:B109)</f>
        <v>8.9999999999999969E-2</v>
      </c>
    </row>
    <row r="109" spans="1:4" x14ac:dyDescent="0.3">
      <c r="A109" s="58" t="s">
        <v>88</v>
      </c>
      <c r="B109" s="82">
        <v>0.99</v>
      </c>
      <c r="C109" s="111"/>
      <c r="D109" s="108"/>
    </row>
    <row r="110" spans="1:4" x14ac:dyDescent="0.3">
      <c r="A110" s="58" t="s">
        <v>64</v>
      </c>
      <c r="B110" s="82">
        <v>0.8</v>
      </c>
      <c r="C110" s="109">
        <f>AVERAGE(B110:B113)</f>
        <v>0.65178049999999998</v>
      </c>
      <c r="D110" s="108">
        <f>_xlfn.STDEV.P(B110:B113)</f>
        <v>8.7389047716233126E-2</v>
      </c>
    </row>
    <row r="111" spans="1:4" x14ac:dyDescent="0.3">
      <c r="A111" s="58" t="s">
        <v>64</v>
      </c>
      <c r="B111" s="82">
        <v>0.62853000000000003</v>
      </c>
      <c r="C111" s="110"/>
      <c r="D111" s="108"/>
    </row>
    <row r="112" spans="1:4" x14ac:dyDescent="0.3">
      <c r="A112" s="58" t="s">
        <v>64</v>
      </c>
      <c r="B112" s="82">
        <v>0.6</v>
      </c>
      <c r="C112" s="110"/>
      <c r="D112" s="108"/>
    </row>
    <row r="113" spans="1:4" x14ac:dyDescent="0.3">
      <c r="A113" s="58" t="s">
        <v>64</v>
      </c>
      <c r="B113" s="82">
        <v>0.578592</v>
      </c>
      <c r="C113" s="111"/>
      <c r="D113" s="108"/>
    </row>
    <row r="114" spans="1:4" x14ac:dyDescent="0.3">
      <c r="A114" s="58" t="s">
        <v>77</v>
      </c>
      <c r="B114" s="82">
        <v>0.56999999999999995</v>
      </c>
      <c r="C114" s="109">
        <f>AVERAGE(B114:B123)</f>
        <v>0.68207999999999991</v>
      </c>
      <c r="D114" s="108">
        <f>_xlfn.STDEV.P(B114:B123)</f>
        <v>5.633948526566427E-2</v>
      </c>
    </row>
    <row r="115" spans="1:4" x14ac:dyDescent="0.3">
      <c r="A115" s="58" t="s">
        <v>77</v>
      </c>
      <c r="B115" s="82">
        <v>0.71</v>
      </c>
      <c r="C115" s="110"/>
      <c r="D115" s="108"/>
    </row>
    <row r="116" spans="1:4" x14ac:dyDescent="0.3">
      <c r="A116" s="58" t="s">
        <v>77</v>
      </c>
      <c r="B116" s="82">
        <v>0.66</v>
      </c>
      <c r="C116" s="110"/>
      <c r="D116" s="108"/>
    </row>
    <row r="117" spans="1:4" x14ac:dyDescent="0.3">
      <c r="A117" s="58" t="s">
        <v>77</v>
      </c>
      <c r="B117" s="82">
        <v>0.66</v>
      </c>
      <c r="C117" s="110"/>
      <c r="D117" s="108"/>
    </row>
    <row r="118" spans="1:4" x14ac:dyDescent="0.3">
      <c r="A118" s="58" t="s">
        <v>77</v>
      </c>
      <c r="B118" s="82">
        <v>0.77</v>
      </c>
      <c r="C118" s="110"/>
      <c r="D118" s="108"/>
    </row>
    <row r="119" spans="1:4" x14ac:dyDescent="0.3">
      <c r="A119" s="58" t="s">
        <v>77</v>
      </c>
      <c r="B119" s="82">
        <v>0.63</v>
      </c>
      <c r="C119" s="110"/>
      <c r="D119" s="108"/>
    </row>
    <row r="120" spans="1:4" x14ac:dyDescent="0.3">
      <c r="A120" s="58" t="s">
        <v>77</v>
      </c>
      <c r="B120" s="82">
        <v>0.67079999999999995</v>
      </c>
      <c r="C120" s="110"/>
      <c r="D120" s="108"/>
    </row>
    <row r="121" spans="1:4" x14ac:dyDescent="0.3">
      <c r="A121" s="58" t="s">
        <v>77</v>
      </c>
      <c r="B121" s="82">
        <v>0.68</v>
      </c>
      <c r="C121" s="110"/>
      <c r="D121" s="108"/>
    </row>
    <row r="122" spans="1:4" x14ac:dyDescent="0.3">
      <c r="A122" s="58" t="s">
        <v>77</v>
      </c>
      <c r="B122" s="82">
        <v>0.71</v>
      </c>
      <c r="C122" s="110"/>
      <c r="D122" s="108"/>
    </row>
    <row r="123" spans="1:4" x14ac:dyDescent="0.3">
      <c r="A123" s="58" t="s">
        <v>77</v>
      </c>
      <c r="B123" s="82">
        <v>0.76</v>
      </c>
      <c r="C123" s="111"/>
      <c r="D123" s="108"/>
    </row>
    <row r="124" spans="1:4" x14ac:dyDescent="0.3">
      <c r="A124" s="58" t="s">
        <v>70</v>
      </c>
      <c r="B124" s="82">
        <v>0.49</v>
      </c>
      <c r="C124" s="82">
        <v>0.49</v>
      </c>
      <c r="D124" s="82">
        <v>0</v>
      </c>
    </row>
    <row r="125" spans="1:4" x14ac:dyDescent="0.3">
      <c r="A125" s="58" t="s">
        <v>78</v>
      </c>
      <c r="B125" s="82">
        <v>0.27</v>
      </c>
      <c r="C125" s="109">
        <f>AVERAGE(B125:B133)</f>
        <v>0.33799999999999997</v>
      </c>
      <c r="D125" s="108">
        <f>_xlfn.STDEV.P(B125:B133)</f>
        <v>7.1030509876625167E-2</v>
      </c>
    </row>
    <row r="126" spans="1:4" x14ac:dyDescent="0.3">
      <c r="A126" s="58" t="s">
        <v>78</v>
      </c>
      <c r="B126" s="82">
        <v>0.49</v>
      </c>
      <c r="C126" s="110"/>
      <c r="D126" s="108"/>
    </row>
    <row r="127" spans="1:4" x14ac:dyDescent="0.3">
      <c r="A127" s="58" t="s">
        <v>78</v>
      </c>
      <c r="B127" s="82">
        <v>0.3</v>
      </c>
      <c r="C127" s="110"/>
      <c r="D127" s="108"/>
    </row>
    <row r="128" spans="1:4" x14ac:dyDescent="0.3">
      <c r="A128" s="58" t="s">
        <v>78</v>
      </c>
      <c r="B128" s="82">
        <v>0.32</v>
      </c>
      <c r="C128" s="110"/>
      <c r="D128" s="108"/>
    </row>
    <row r="129" spans="1:4" x14ac:dyDescent="0.3">
      <c r="A129" s="58" t="s">
        <v>78</v>
      </c>
      <c r="B129" s="82">
        <v>0.35</v>
      </c>
      <c r="C129" s="110"/>
      <c r="D129" s="108"/>
    </row>
    <row r="130" spans="1:4" x14ac:dyDescent="0.3">
      <c r="A130" s="58" t="s">
        <v>78</v>
      </c>
      <c r="B130" s="82">
        <v>0.4</v>
      </c>
      <c r="C130" s="110"/>
      <c r="D130" s="108"/>
    </row>
    <row r="131" spans="1:4" x14ac:dyDescent="0.3">
      <c r="A131" s="58" t="s">
        <v>78</v>
      </c>
      <c r="B131" s="82">
        <v>0.30199999999999999</v>
      </c>
      <c r="C131" s="110"/>
      <c r="D131" s="108"/>
    </row>
    <row r="132" spans="1:4" x14ac:dyDescent="0.3">
      <c r="A132" s="58" t="s">
        <v>78</v>
      </c>
      <c r="B132" s="82">
        <v>0.37</v>
      </c>
      <c r="C132" s="110"/>
      <c r="D132" s="108"/>
    </row>
    <row r="133" spans="1:4" x14ac:dyDescent="0.3">
      <c r="A133" s="58" t="s">
        <v>78</v>
      </c>
      <c r="B133" s="82">
        <v>0.24</v>
      </c>
      <c r="C133" s="111"/>
      <c r="D133" s="108"/>
    </row>
    <row r="134" spans="1:4" x14ac:dyDescent="0.3">
      <c r="A134" s="58" t="s">
        <v>61</v>
      </c>
      <c r="B134" s="82">
        <v>0.6</v>
      </c>
      <c r="C134" s="109">
        <f>AVERAGE(B134:B139)</f>
        <v>0.62785666666666673</v>
      </c>
      <c r="D134" s="108">
        <f>_xlfn.STDEV.P(B134:B139)</f>
        <v>8.8903895990120579E-2</v>
      </c>
    </row>
    <row r="135" spans="1:4" x14ac:dyDescent="0.3">
      <c r="A135" s="58" t="s">
        <v>61</v>
      </c>
      <c r="B135" s="82">
        <v>0.65</v>
      </c>
      <c r="C135" s="110"/>
      <c r="D135" s="108"/>
    </row>
    <row r="136" spans="1:4" x14ac:dyDescent="0.3">
      <c r="A136" s="58" t="s">
        <v>61</v>
      </c>
      <c r="B136" s="82">
        <v>0.79</v>
      </c>
      <c r="C136" s="110"/>
      <c r="D136" s="108"/>
    </row>
    <row r="137" spans="1:4" x14ac:dyDescent="0.3">
      <c r="A137" s="58" t="s">
        <v>61</v>
      </c>
      <c r="B137" s="82">
        <v>0.63714000000000004</v>
      </c>
      <c r="C137" s="110"/>
      <c r="D137" s="108"/>
    </row>
    <row r="138" spans="1:4" x14ac:dyDescent="0.3">
      <c r="A138" s="58" t="s">
        <v>61</v>
      </c>
      <c r="B138" s="82">
        <v>0.6</v>
      </c>
      <c r="C138" s="110"/>
      <c r="D138" s="108"/>
    </row>
    <row r="139" spans="1:4" x14ac:dyDescent="0.3">
      <c r="A139" s="58" t="s">
        <v>61</v>
      </c>
      <c r="B139" s="82">
        <v>0.49</v>
      </c>
      <c r="C139" s="111"/>
      <c r="D139" s="108"/>
    </row>
    <row r="140" spans="1:4" x14ac:dyDescent="0.3">
      <c r="A140" s="58" t="s">
        <v>69</v>
      </c>
      <c r="B140" s="82" t="s">
        <v>106</v>
      </c>
      <c r="C140" s="82" t="s">
        <v>106</v>
      </c>
      <c r="D140" s="82" t="s">
        <v>106</v>
      </c>
    </row>
    <row r="141" spans="1:4" x14ac:dyDescent="0.3">
      <c r="A141" s="58" t="s">
        <v>62</v>
      </c>
      <c r="B141" s="82">
        <v>0.16500000000000001</v>
      </c>
      <c r="C141" s="82">
        <v>0.16500000000000001</v>
      </c>
      <c r="D141" s="82">
        <v>0</v>
      </c>
    </row>
    <row r="142" spans="1:4" x14ac:dyDescent="0.3">
      <c r="A142" s="58" t="s">
        <v>43</v>
      </c>
      <c r="B142" s="82">
        <v>0.61</v>
      </c>
      <c r="C142" s="109">
        <f>AVERAGE(B142:B144)</f>
        <v>0.68</v>
      </c>
      <c r="D142" s="108">
        <f>_xlfn.STDEV.P(B142:B144)</f>
        <v>6.6833125519211417E-2</v>
      </c>
    </row>
    <row r="143" spans="1:4" x14ac:dyDescent="0.3">
      <c r="A143" s="58" t="s">
        <v>43</v>
      </c>
      <c r="B143" s="82">
        <v>0.66</v>
      </c>
      <c r="C143" s="110"/>
      <c r="D143" s="108"/>
    </row>
    <row r="144" spans="1:4" x14ac:dyDescent="0.3">
      <c r="A144" s="58" t="s">
        <v>43</v>
      </c>
      <c r="B144" s="82">
        <v>0.77</v>
      </c>
      <c r="C144" s="111"/>
      <c r="D144" s="108"/>
    </row>
    <row r="145" spans="1:3" x14ac:dyDescent="0.3">
      <c r="A145"/>
      <c r="C145" s="84"/>
    </row>
    <row r="146" spans="1:3" x14ac:dyDescent="0.3">
      <c r="A146"/>
    </row>
    <row r="147" spans="1:3" x14ac:dyDescent="0.3">
      <c r="A147"/>
    </row>
    <row r="148" spans="1:3" x14ac:dyDescent="0.3">
      <c r="A148"/>
    </row>
    <row r="149" spans="1:3" x14ac:dyDescent="0.3">
      <c r="A149"/>
    </row>
    <row r="150" spans="1:3" x14ac:dyDescent="0.3">
      <c r="A150"/>
    </row>
    <row r="151" spans="1:3" x14ac:dyDescent="0.3">
      <c r="A151"/>
    </row>
    <row r="152" spans="1:3" x14ac:dyDescent="0.3">
      <c r="A152"/>
    </row>
    <row r="153" spans="1:3" x14ac:dyDescent="0.3">
      <c r="A153"/>
    </row>
    <row r="154" spans="1:3" x14ac:dyDescent="0.3">
      <c r="A154"/>
    </row>
    <row r="155" spans="1:3" x14ac:dyDescent="0.3">
      <c r="A155"/>
    </row>
    <row r="156" spans="1:3" x14ac:dyDescent="0.3">
      <c r="A156"/>
    </row>
    <row r="157" spans="1:3" x14ac:dyDescent="0.3">
      <c r="A157"/>
    </row>
    <row r="158" spans="1:3" x14ac:dyDescent="0.3">
      <c r="A158"/>
    </row>
    <row r="159" spans="1:3" x14ac:dyDescent="0.3">
      <c r="A159"/>
    </row>
    <row r="160" spans="1:3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</sheetData>
  <sortState xmlns:xlrd2="http://schemas.microsoft.com/office/spreadsheetml/2017/richdata2" ref="A2:A177">
    <sortCondition ref="A2:A177"/>
  </sortState>
  <mergeCells count="48">
    <mergeCell ref="D57:D75"/>
    <mergeCell ref="C76:C77"/>
    <mergeCell ref="C78:C81"/>
    <mergeCell ref="C34:C35"/>
    <mergeCell ref="C36:C39"/>
    <mergeCell ref="C40:C42"/>
    <mergeCell ref="C43:C48"/>
    <mergeCell ref="C49:C55"/>
    <mergeCell ref="C3:C10"/>
    <mergeCell ref="C11:C19"/>
    <mergeCell ref="D3:D10"/>
    <mergeCell ref="C20:C25"/>
    <mergeCell ref="C26:C29"/>
    <mergeCell ref="C142:C144"/>
    <mergeCell ref="D11:D19"/>
    <mergeCell ref="D20:D25"/>
    <mergeCell ref="D26:D29"/>
    <mergeCell ref="D30:D33"/>
    <mergeCell ref="D34:D35"/>
    <mergeCell ref="D36:D39"/>
    <mergeCell ref="D40:D42"/>
    <mergeCell ref="D43:D48"/>
    <mergeCell ref="D49:D55"/>
    <mergeCell ref="C104:C107"/>
    <mergeCell ref="C108:C109"/>
    <mergeCell ref="C110:C113"/>
    <mergeCell ref="C97:C103"/>
    <mergeCell ref="C57:C75"/>
    <mergeCell ref="C30:C33"/>
    <mergeCell ref="C114:C123"/>
    <mergeCell ref="C125:C133"/>
    <mergeCell ref="C134:C139"/>
    <mergeCell ref="D76:D77"/>
    <mergeCell ref="D78:D81"/>
    <mergeCell ref="D82:D83"/>
    <mergeCell ref="D87:D93"/>
    <mergeCell ref="D134:D139"/>
    <mergeCell ref="D94:D96"/>
    <mergeCell ref="C82:C83"/>
    <mergeCell ref="C87:C93"/>
    <mergeCell ref="C94:C96"/>
    <mergeCell ref="D142:D144"/>
    <mergeCell ref="D97:D103"/>
    <mergeCell ref="D104:D107"/>
    <mergeCell ref="D108:D109"/>
    <mergeCell ref="D110:D113"/>
    <mergeCell ref="D114:D123"/>
    <mergeCell ref="D125:D1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DB52-776E-43EF-AA0A-A73C19791565}">
  <dimension ref="A1:D33"/>
  <sheetViews>
    <sheetView zoomScaleNormal="100" workbookViewId="0">
      <selection activeCell="B33" sqref="B33"/>
    </sheetView>
  </sheetViews>
  <sheetFormatPr defaultRowHeight="14.4" x14ac:dyDescent="0.3"/>
  <cols>
    <col min="1" max="1" width="42.44140625" bestFit="1" customWidth="1"/>
    <col min="2" max="2" width="12" bestFit="1" customWidth="1"/>
    <col min="3" max="3" width="21" bestFit="1" customWidth="1"/>
    <col min="4" max="4" width="16.109375" bestFit="1" customWidth="1"/>
  </cols>
  <sheetData>
    <row r="1" spans="1:4" x14ac:dyDescent="0.3">
      <c r="A1" s="58" t="s">
        <v>89</v>
      </c>
      <c r="B1" s="58" t="s">
        <v>107</v>
      </c>
      <c r="C1" s="58" t="s">
        <v>108</v>
      </c>
      <c r="D1" s="85" t="s">
        <v>109</v>
      </c>
    </row>
    <row r="2" spans="1:4" x14ac:dyDescent="0.3">
      <c r="A2" s="58" t="s">
        <v>67</v>
      </c>
      <c r="B2" s="82">
        <v>0.6169</v>
      </c>
      <c r="C2" s="82">
        <v>0.6</v>
      </c>
      <c r="D2" s="82">
        <v>0</v>
      </c>
    </row>
    <row r="3" spans="1:4" x14ac:dyDescent="0.3">
      <c r="A3" s="58" t="s">
        <v>80</v>
      </c>
      <c r="B3" s="82">
        <v>0.68179999999999996</v>
      </c>
      <c r="C3" s="82">
        <v>0.83535000000000004</v>
      </c>
      <c r="D3" s="82">
        <v>9.8001823962618126E-2</v>
      </c>
    </row>
    <row r="4" spans="1:4" x14ac:dyDescent="0.3">
      <c r="A4" s="58" t="s">
        <v>53</v>
      </c>
      <c r="B4" s="82">
        <v>0.7026</v>
      </c>
      <c r="C4" s="82">
        <v>0.71097777777777793</v>
      </c>
      <c r="D4" s="82">
        <v>9.7537705276559514E-2</v>
      </c>
    </row>
    <row r="5" spans="1:4" x14ac:dyDescent="0.3">
      <c r="A5" s="58" t="s">
        <v>56</v>
      </c>
      <c r="B5" s="82">
        <v>0.35449999999999998</v>
      </c>
      <c r="C5" s="82">
        <v>0.46216666666666661</v>
      </c>
      <c r="D5" s="82">
        <v>7.3870193959103853E-2</v>
      </c>
    </row>
    <row r="6" spans="1:4" x14ac:dyDescent="0.3">
      <c r="A6" s="58" t="s">
        <v>87</v>
      </c>
      <c r="B6" s="82">
        <v>0.371</v>
      </c>
      <c r="C6" s="82">
        <v>0.31090000000000001</v>
      </c>
      <c r="D6" s="82">
        <v>0.14812302319356027</v>
      </c>
    </row>
    <row r="7" spans="1:4" x14ac:dyDescent="0.3">
      <c r="A7" s="58" t="s">
        <v>52</v>
      </c>
      <c r="B7" s="82">
        <v>0.57099999999999995</v>
      </c>
      <c r="C7" s="82">
        <v>0.61499999999999999</v>
      </c>
      <c r="D7" s="82">
        <v>7.8898669190297727E-2</v>
      </c>
    </row>
    <row r="8" spans="1:4" x14ac:dyDescent="0.3">
      <c r="A8" s="58" t="s">
        <v>73</v>
      </c>
      <c r="B8" s="82">
        <v>0.377</v>
      </c>
      <c r="C8" s="82">
        <v>0.48499999999999999</v>
      </c>
      <c r="D8" s="82">
        <v>8.5000000000000048E-2</v>
      </c>
    </row>
    <row r="9" spans="1:4" x14ac:dyDescent="0.3">
      <c r="A9" s="58" t="s">
        <v>72</v>
      </c>
      <c r="B9" s="82">
        <v>0.57489999999999997</v>
      </c>
      <c r="C9" s="82">
        <v>0.63</v>
      </c>
      <c r="D9" s="82">
        <v>7.5498344352707011E-2</v>
      </c>
    </row>
    <row r="10" spans="1:4" x14ac:dyDescent="0.3">
      <c r="A10" s="58" t="s">
        <v>36</v>
      </c>
      <c r="B10" s="82">
        <v>0.43030000000000002</v>
      </c>
      <c r="C10" s="82">
        <v>0.49666666666666665</v>
      </c>
      <c r="D10" s="82">
        <v>8.1785627642568665E-2</v>
      </c>
    </row>
    <row r="11" spans="1:4" x14ac:dyDescent="0.3">
      <c r="A11" s="58" t="s">
        <v>29</v>
      </c>
      <c r="B11" s="82">
        <v>0.69430000000000003</v>
      </c>
      <c r="C11" s="82">
        <v>0.93666666666666665</v>
      </c>
      <c r="D11" s="82">
        <v>0.12064640713902582</v>
      </c>
    </row>
    <row r="12" spans="1:4" x14ac:dyDescent="0.3">
      <c r="A12" s="58" t="s">
        <v>82</v>
      </c>
      <c r="B12" s="82">
        <v>0.32679999999999998</v>
      </c>
      <c r="C12" s="82">
        <v>0.38347999999999999</v>
      </c>
      <c r="D12" s="82">
        <v>7.8551774372975641E-2</v>
      </c>
    </row>
    <row r="13" spans="1:4" x14ac:dyDescent="0.3">
      <c r="A13" s="58" t="s">
        <v>85</v>
      </c>
      <c r="B13" s="82">
        <v>0.53669999999999995</v>
      </c>
      <c r="C13" s="82">
        <v>0.4</v>
      </c>
      <c r="D13" s="82">
        <v>0</v>
      </c>
    </row>
    <row r="14" spans="1:4" x14ac:dyDescent="0.3">
      <c r="A14" s="58" t="s">
        <v>79</v>
      </c>
      <c r="B14" s="82">
        <v>0.75600000000000001</v>
      </c>
      <c r="C14" s="82">
        <v>0.78982526315789459</v>
      </c>
      <c r="D14" s="82">
        <v>7.1394752230002023E-2</v>
      </c>
    </row>
    <row r="15" spans="1:4" x14ac:dyDescent="0.3">
      <c r="A15" s="58" t="s">
        <v>74</v>
      </c>
      <c r="B15" s="82">
        <v>0.55779999999999996</v>
      </c>
      <c r="C15" s="82">
        <v>0.59000000000000008</v>
      </c>
      <c r="D15" s="82">
        <v>8.9999999999999983E-2</v>
      </c>
    </row>
    <row r="16" spans="1:4" x14ac:dyDescent="0.3">
      <c r="A16" s="58" t="s">
        <v>83</v>
      </c>
      <c r="B16" s="82">
        <v>0.66990000000000005</v>
      </c>
      <c r="C16" s="82">
        <v>0.55479999999999996</v>
      </c>
      <c r="D16" s="82">
        <v>4.9613707783232645E-2</v>
      </c>
    </row>
    <row r="17" spans="1:4" x14ac:dyDescent="0.3">
      <c r="A17" s="58" t="s">
        <v>66</v>
      </c>
      <c r="B17" s="82">
        <v>0.51819999999999999</v>
      </c>
      <c r="C17" s="82">
        <v>0.63</v>
      </c>
      <c r="D17" s="82">
        <v>3.0000000000000027E-2</v>
      </c>
    </row>
    <row r="18" spans="1:4" x14ac:dyDescent="0.3">
      <c r="A18" s="58" t="s">
        <v>48</v>
      </c>
      <c r="B18" s="82">
        <v>0.3448</v>
      </c>
      <c r="C18" s="82">
        <v>0.66</v>
      </c>
      <c r="D18" s="82">
        <v>0</v>
      </c>
    </row>
    <row r="19" spans="1:4" x14ac:dyDescent="0.3">
      <c r="A19" s="58" t="s">
        <v>75</v>
      </c>
      <c r="B19" s="82">
        <v>0.75780000000000003</v>
      </c>
      <c r="C19" s="82">
        <v>0.8</v>
      </c>
      <c r="D19" s="82">
        <v>0</v>
      </c>
    </row>
    <row r="20" spans="1:4" x14ac:dyDescent="0.3">
      <c r="A20" s="58" t="s">
        <v>58</v>
      </c>
      <c r="B20" s="82">
        <v>0.58850000000000002</v>
      </c>
      <c r="C20" s="82">
        <v>0.95499999999999996</v>
      </c>
      <c r="D20" s="82">
        <v>0</v>
      </c>
    </row>
    <row r="21" spans="1:4" x14ac:dyDescent="0.3">
      <c r="A21" s="58" t="s">
        <v>55</v>
      </c>
      <c r="B21" s="82">
        <v>0.70209999999999995</v>
      </c>
      <c r="C21" s="82">
        <v>0.81794285714285719</v>
      </c>
      <c r="D21" s="82">
        <v>6.3472983164782254E-2</v>
      </c>
    </row>
    <row r="22" spans="1:4" x14ac:dyDescent="0.3">
      <c r="A22" s="58" t="s">
        <v>76</v>
      </c>
      <c r="B22" s="82">
        <v>0.72640000000000005</v>
      </c>
      <c r="C22" s="82">
        <v>0.76666666666666661</v>
      </c>
      <c r="D22" s="82">
        <v>0.22305953365762166</v>
      </c>
    </row>
    <row r="23" spans="1:4" x14ac:dyDescent="0.3">
      <c r="A23" s="58" t="s">
        <v>19</v>
      </c>
      <c r="B23" s="82">
        <v>0.52839999999999998</v>
      </c>
      <c r="C23" s="82">
        <v>0.69991428571428571</v>
      </c>
      <c r="D23" s="82">
        <v>8.0492331996309341E-2</v>
      </c>
    </row>
    <row r="24" spans="1:4" x14ac:dyDescent="0.3">
      <c r="A24" s="58" t="s">
        <v>81</v>
      </c>
      <c r="B24" s="82">
        <v>0.64180000000000004</v>
      </c>
      <c r="C24" s="82">
        <v>0.63750000000000007</v>
      </c>
      <c r="D24" s="82">
        <v>8.2575722824568293E-2</v>
      </c>
    </row>
    <row r="25" spans="1:4" x14ac:dyDescent="0.3">
      <c r="A25" s="58" t="s">
        <v>88</v>
      </c>
      <c r="B25" s="82">
        <v>0.93010000000000004</v>
      </c>
      <c r="C25" s="82">
        <v>0.9</v>
      </c>
      <c r="D25" s="82">
        <v>8.9999999999999969E-2</v>
      </c>
    </row>
    <row r="26" spans="1:4" x14ac:dyDescent="0.3">
      <c r="A26" s="58" t="s">
        <v>64</v>
      </c>
      <c r="B26" s="82">
        <v>0.51910000000000001</v>
      </c>
      <c r="C26" s="82">
        <v>0.65178049999999998</v>
      </c>
      <c r="D26" s="82">
        <v>8.7389047716233126E-2</v>
      </c>
    </row>
    <row r="27" spans="1:4" x14ac:dyDescent="0.3">
      <c r="A27" s="58" t="s">
        <v>77</v>
      </c>
      <c r="B27" s="82">
        <v>0.70430000000000004</v>
      </c>
      <c r="C27" s="82">
        <v>0.68207999999999991</v>
      </c>
      <c r="D27" s="82">
        <v>5.633948526566427E-2</v>
      </c>
    </row>
    <row r="28" spans="1:4" x14ac:dyDescent="0.3">
      <c r="A28" s="58" t="s">
        <v>70</v>
      </c>
      <c r="B28" s="82">
        <v>0.4884</v>
      </c>
      <c r="C28" s="82">
        <v>0.49</v>
      </c>
      <c r="D28" s="82">
        <v>0</v>
      </c>
    </row>
    <row r="29" spans="1:4" x14ac:dyDescent="0.3">
      <c r="A29" s="58" t="s">
        <v>78</v>
      </c>
      <c r="B29" s="82">
        <v>0.38719999999999999</v>
      </c>
      <c r="C29" s="82">
        <v>0.33799999999999997</v>
      </c>
      <c r="D29" s="82">
        <v>7.1030509876625167E-2</v>
      </c>
    </row>
    <row r="30" spans="1:4" x14ac:dyDescent="0.3">
      <c r="A30" s="58" t="s">
        <v>61</v>
      </c>
      <c r="B30" s="82">
        <v>0.68059999999999998</v>
      </c>
      <c r="C30" s="82">
        <v>0.62785666666666673</v>
      </c>
      <c r="D30" s="82">
        <v>8.8903895990120579E-2</v>
      </c>
    </row>
    <row r="31" spans="1:4" x14ac:dyDescent="0.3">
      <c r="A31" s="58" t="s">
        <v>69</v>
      </c>
      <c r="B31" s="82">
        <v>0.41909999999999997</v>
      </c>
      <c r="C31" s="82" t="s">
        <v>106</v>
      </c>
      <c r="D31" s="82" t="s">
        <v>106</v>
      </c>
    </row>
    <row r="32" spans="1:4" x14ac:dyDescent="0.3">
      <c r="A32" s="58" t="s">
        <v>62</v>
      </c>
      <c r="B32" s="82">
        <v>0.2298</v>
      </c>
      <c r="C32" s="82">
        <v>0.16500000000000001</v>
      </c>
      <c r="D32" s="82">
        <v>0</v>
      </c>
    </row>
    <row r="33" spans="1:4" x14ac:dyDescent="0.3">
      <c r="A33" s="58" t="s">
        <v>43</v>
      </c>
      <c r="B33" s="82">
        <v>0.55700000000000005</v>
      </c>
      <c r="C33" s="82">
        <v>0.68</v>
      </c>
      <c r="D33" s="82">
        <v>6.6833125519211417E-2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2069-A661-446B-A7A7-31F354CD33F0}">
  <dimension ref="A1:E315"/>
  <sheetViews>
    <sheetView tabSelected="1" workbookViewId="0">
      <selection activeCell="F5" sqref="F5"/>
    </sheetView>
  </sheetViews>
  <sheetFormatPr defaultRowHeight="14.4" x14ac:dyDescent="0.3"/>
  <cols>
    <col min="1" max="1" width="42.44140625" bestFit="1" customWidth="1"/>
    <col min="2" max="2" width="20" style="84" bestFit="1" customWidth="1"/>
    <col min="3" max="3" width="20" customWidth="1"/>
    <col min="4" max="4" width="5.88671875" bestFit="1" customWidth="1"/>
    <col min="5" max="5" width="6" style="74" bestFit="1" customWidth="1"/>
    <col min="6" max="6" width="9.109375" bestFit="1" customWidth="1"/>
  </cols>
  <sheetData>
    <row r="1" spans="1:5" x14ac:dyDescent="0.3">
      <c r="A1" s="58" t="s">
        <v>517</v>
      </c>
      <c r="B1" s="83" t="s">
        <v>518</v>
      </c>
      <c r="C1" s="58" t="s">
        <v>519</v>
      </c>
      <c r="D1" t="s">
        <v>112</v>
      </c>
      <c r="E1"/>
    </row>
    <row r="2" spans="1:5" x14ac:dyDescent="0.3">
      <c r="A2" s="58" t="s">
        <v>119</v>
      </c>
      <c r="B2" s="82">
        <v>0.6</v>
      </c>
      <c r="C2" s="7" t="s">
        <v>113</v>
      </c>
      <c r="D2">
        <v>1</v>
      </c>
      <c r="E2"/>
    </row>
    <row r="3" spans="1:5" x14ac:dyDescent="0.3">
      <c r="A3" s="58" t="s">
        <v>119</v>
      </c>
      <c r="B3" s="86">
        <v>0.62621359223300976</v>
      </c>
      <c r="C3" s="7" t="s">
        <v>114</v>
      </c>
      <c r="D3">
        <v>1</v>
      </c>
    </row>
    <row r="4" spans="1:5" x14ac:dyDescent="0.3">
      <c r="A4" s="58" t="s">
        <v>119</v>
      </c>
      <c r="B4" s="86">
        <v>0.56457564575645758</v>
      </c>
      <c r="C4" s="7" t="s">
        <v>114</v>
      </c>
      <c r="D4">
        <v>1</v>
      </c>
    </row>
    <row r="5" spans="1:5" x14ac:dyDescent="0.3">
      <c r="A5" s="58" t="s">
        <v>119</v>
      </c>
      <c r="B5" s="86">
        <v>0.60759493670886078</v>
      </c>
      <c r="C5" s="7" t="s">
        <v>114</v>
      </c>
      <c r="D5">
        <v>1</v>
      </c>
    </row>
    <row r="6" spans="1:5" x14ac:dyDescent="0.3">
      <c r="A6" s="58" t="s">
        <v>119</v>
      </c>
      <c r="B6" s="86">
        <v>0.60431654676258995</v>
      </c>
      <c r="C6" s="7" t="s">
        <v>114</v>
      </c>
      <c r="D6">
        <v>1</v>
      </c>
    </row>
    <row r="7" spans="1:5" x14ac:dyDescent="0.3">
      <c r="A7" s="58" t="s">
        <v>119</v>
      </c>
      <c r="B7" s="86">
        <v>0.67441860465116277</v>
      </c>
      <c r="C7" s="7" t="s">
        <v>114</v>
      </c>
      <c r="D7">
        <v>1</v>
      </c>
    </row>
    <row r="8" spans="1:5" x14ac:dyDescent="0.3">
      <c r="A8" s="58" t="s">
        <v>119</v>
      </c>
      <c r="B8" s="86">
        <v>0.6244343891402715</v>
      </c>
      <c r="C8" s="7" t="s">
        <v>114</v>
      </c>
      <c r="D8">
        <v>1</v>
      </c>
    </row>
    <row r="9" spans="1:5" x14ac:dyDescent="0.3">
      <c r="A9" s="58" t="s">
        <v>120</v>
      </c>
      <c r="B9" s="82">
        <v>0.62</v>
      </c>
      <c r="C9" s="7" t="s">
        <v>113</v>
      </c>
      <c r="D9">
        <v>2</v>
      </c>
    </row>
    <row r="10" spans="1:5" x14ac:dyDescent="0.3">
      <c r="A10" s="58" t="s">
        <v>120</v>
      </c>
      <c r="B10" s="82">
        <v>0.86</v>
      </c>
      <c r="C10" s="7" t="s">
        <v>113</v>
      </c>
      <c r="D10">
        <v>2</v>
      </c>
    </row>
    <row r="11" spans="1:5" x14ac:dyDescent="0.3">
      <c r="A11" s="58" t="s">
        <v>120</v>
      </c>
      <c r="B11" s="82">
        <v>0.86</v>
      </c>
      <c r="C11" s="7" t="s">
        <v>113</v>
      </c>
      <c r="D11">
        <v>2</v>
      </c>
    </row>
    <row r="12" spans="1:5" x14ac:dyDescent="0.3">
      <c r="A12" s="58" t="s">
        <v>120</v>
      </c>
      <c r="B12" s="82">
        <v>0.99</v>
      </c>
      <c r="C12" s="7" t="s">
        <v>113</v>
      </c>
      <c r="D12">
        <v>2</v>
      </c>
    </row>
    <row r="13" spans="1:5" x14ac:dyDescent="0.3">
      <c r="A13" s="58" t="s">
        <v>120</v>
      </c>
      <c r="B13" s="82">
        <v>0.84279999999999999</v>
      </c>
      <c r="C13" s="7" t="s">
        <v>113</v>
      </c>
      <c r="D13">
        <v>2</v>
      </c>
    </row>
    <row r="14" spans="1:5" x14ac:dyDescent="0.3">
      <c r="A14" s="58" t="s">
        <v>120</v>
      </c>
      <c r="B14" s="82">
        <v>0.88</v>
      </c>
      <c r="C14" s="7" t="s">
        <v>113</v>
      </c>
      <c r="D14">
        <v>2</v>
      </c>
    </row>
    <row r="15" spans="1:5" x14ac:dyDescent="0.3">
      <c r="A15" s="58" t="s">
        <v>120</v>
      </c>
      <c r="B15" s="82">
        <v>0.78</v>
      </c>
      <c r="C15" s="7" t="s">
        <v>113</v>
      </c>
      <c r="D15">
        <v>2</v>
      </c>
    </row>
    <row r="16" spans="1:5" x14ac:dyDescent="0.3">
      <c r="A16" s="58" t="s">
        <v>120</v>
      </c>
      <c r="B16" s="82">
        <v>0.85</v>
      </c>
      <c r="C16" s="7" t="s">
        <v>113</v>
      </c>
      <c r="D16">
        <v>2</v>
      </c>
    </row>
    <row r="17" spans="1:4" x14ac:dyDescent="0.3">
      <c r="A17" s="58" t="s">
        <v>120</v>
      </c>
      <c r="B17" s="86">
        <v>0.70464479867099994</v>
      </c>
      <c r="C17" s="7" t="s">
        <v>114</v>
      </c>
      <c r="D17">
        <v>2</v>
      </c>
    </row>
    <row r="18" spans="1:4" x14ac:dyDescent="0.3">
      <c r="A18" s="58" t="s">
        <v>120</v>
      </c>
      <c r="B18" s="86">
        <v>0.69239288301599988</v>
      </c>
      <c r="C18" s="7" t="s">
        <v>114</v>
      </c>
      <c r="D18">
        <v>2</v>
      </c>
    </row>
    <row r="19" spans="1:4" x14ac:dyDescent="0.3">
      <c r="A19" s="58" t="s">
        <v>120</v>
      </c>
      <c r="B19" s="86">
        <v>0.69081379869600001</v>
      </c>
      <c r="C19" s="7" t="s">
        <v>114</v>
      </c>
      <c r="D19">
        <v>2</v>
      </c>
    </row>
    <row r="20" spans="1:4" x14ac:dyDescent="0.3">
      <c r="A20" s="58" t="s">
        <v>120</v>
      </c>
      <c r="B20" s="86">
        <v>0.77910847955999996</v>
      </c>
      <c r="C20" s="7" t="s">
        <v>114</v>
      </c>
      <c r="D20">
        <v>2</v>
      </c>
    </row>
    <row r="21" spans="1:4" x14ac:dyDescent="0.3">
      <c r="A21" s="58" t="s">
        <v>120</v>
      </c>
      <c r="B21" s="86">
        <v>0.601380193482</v>
      </c>
      <c r="C21" s="7" t="s">
        <v>114</v>
      </c>
      <c r="D21">
        <v>2</v>
      </c>
    </row>
    <row r="22" spans="1:4" x14ac:dyDescent="0.3">
      <c r="A22" s="58" t="s">
        <v>120</v>
      </c>
      <c r="B22" s="86">
        <v>0.62259741449999995</v>
      </c>
      <c r="C22" s="7" t="s">
        <v>114</v>
      </c>
      <c r="D22">
        <v>2</v>
      </c>
    </row>
    <row r="23" spans="1:4" x14ac:dyDescent="0.3">
      <c r="A23" s="58" t="s">
        <v>121</v>
      </c>
      <c r="B23" s="82">
        <v>0.54</v>
      </c>
      <c r="C23" s="7" t="s">
        <v>113</v>
      </c>
      <c r="D23">
        <v>3</v>
      </c>
    </row>
    <row r="24" spans="1:4" x14ac:dyDescent="0.3">
      <c r="A24" s="58" t="s">
        <v>121</v>
      </c>
      <c r="B24" s="82">
        <v>0.69</v>
      </c>
      <c r="C24" s="7" t="s">
        <v>113</v>
      </c>
      <c r="D24">
        <v>3</v>
      </c>
    </row>
    <row r="25" spans="1:4" x14ac:dyDescent="0.3">
      <c r="A25" s="58" t="s">
        <v>121</v>
      </c>
      <c r="B25" s="82">
        <v>0.77</v>
      </c>
      <c r="C25" s="7" t="s">
        <v>113</v>
      </c>
      <c r="D25">
        <v>3</v>
      </c>
    </row>
    <row r="26" spans="1:4" x14ac:dyDescent="0.3">
      <c r="A26" s="58" t="s">
        <v>121</v>
      </c>
      <c r="B26" s="82">
        <v>0.65</v>
      </c>
      <c r="C26" s="7" t="s">
        <v>113</v>
      </c>
      <c r="D26">
        <v>3</v>
      </c>
    </row>
    <row r="27" spans="1:4" x14ac:dyDescent="0.3">
      <c r="A27" s="58" t="s">
        <v>121</v>
      </c>
      <c r="B27" s="82">
        <v>0.79</v>
      </c>
      <c r="C27" s="7" t="s">
        <v>113</v>
      </c>
      <c r="D27">
        <v>3</v>
      </c>
    </row>
    <row r="28" spans="1:4" x14ac:dyDescent="0.3">
      <c r="A28" s="58" t="s">
        <v>121</v>
      </c>
      <c r="B28" s="82">
        <v>0.85</v>
      </c>
      <c r="C28" s="7" t="s">
        <v>113</v>
      </c>
      <c r="D28">
        <v>3</v>
      </c>
    </row>
    <row r="29" spans="1:4" x14ac:dyDescent="0.3">
      <c r="A29" s="58" t="s">
        <v>121</v>
      </c>
      <c r="B29" s="82">
        <v>0.58479999999999999</v>
      </c>
      <c r="C29" s="7" t="s">
        <v>113</v>
      </c>
      <c r="D29">
        <v>3</v>
      </c>
    </row>
    <row r="30" spans="1:4" x14ac:dyDescent="0.3">
      <c r="A30" s="58" t="s">
        <v>121</v>
      </c>
      <c r="B30" s="82">
        <v>0.73</v>
      </c>
      <c r="C30" s="7" t="s">
        <v>113</v>
      </c>
      <c r="D30">
        <v>3</v>
      </c>
    </row>
    <row r="31" spans="1:4" x14ac:dyDescent="0.3">
      <c r="A31" s="58" t="s">
        <v>121</v>
      </c>
      <c r="B31" s="82">
        <v>0.79400000000000004</v>
      </c>
      <c r="C31" s="7" t="s">
        <v>113</v>
      </c>
      <c r="D31">
        <v>3</v>
      </c>
    </row>
    <row r="32" spans="1:4" x14ac:dyDescent="0.3">
      <c r="A32" s="58" t="s">
        <v>121</v>
      </c>
      <c r="B32" s="86">
        <v>0.68888888888888888</v>
      </c>
      <c r="C32" s="7" t="s">
        <v>114</v>
      </c>
      <c r="D32">
        <v>3</v>
      </c>
    </row>
    <row r="33" spans="1:4" x14ac:dyDescent="0.3">
      <c r="A33" s="58" t="s">
        <v>121</v>
      </c>
      <c r="B33" s="86">
        <v>0.73076923076923073</v>
      </c>
      <c r="C33" s="7" t="s">
        <v>114</v>
      </c>
      <c r="D33">
        <v>3</v>
      </c>
    </row>
    <row r="34" spans="1:4" x14ac:dyDescent="0.3">
      <c r="A34" s="58" t="s">
        <v>121</v>
      </c>
      <c r="B34" s="86">
        <v>0.70329670329670335</v>
      </c>
      <c r="C34" s="7" t="s">
        <v>114</v>
      </c>
      <c r="D34">
        <v>3</v>
      </c>
    </row>
    <row r="35" spans="1:4" x14ac:dyDescent="0.3">
      <c r="A35" s="58" t="s">
        <v>121</v>
      </c>
      <c r="B35" s="86">
        <v>0.6875</v>
      </c>
      <c r="C35" s="7" t="s">
        <v>114</v>
      </c>
      <c r="D35">
        <v>3</v>
      </c>
    </row>
    <row r="36" spans="1:4" x14ac:dyDescent="0.3">
      <c r="A36" s="58" t="s">
        <v>508</v>
      </c>
      <c r="B36" s="82">
        <v>0.44</v>
      </c>
      <c r="C36" s="7" t="s">
        <v>113</v>
      </c>
      <c r="D36">
        <v>4</v>
      </c>
    </row>
    <row r="37" spans="1:4" x14ac:dyDescent="0.3">
      <c r="A37" s="58" t="s">
        <v>508</v>
      </c>
      <c r="B37" s="82">
        <v>0.55000000000000004</v>
      </c>
      <c r="C37" s="7" t="s">
        <v>113</v>
      </c>
      <c r="D37">
        <v>4</v>
      </c>
    </row>
    <row r="38" spans="1:4" x14ac:dyDescent="0.3">
      <c r="A38" s="58" t="s">
        <v>508</v>
      </c>
      <c r="B38" s="82">
        <v>0.55000000000000004</v>
      </c>
      <c r="C38" s="7" t="s">
        <v>113</v>
      </c>
      <c r="D38">
        <v>4</v>
      </c>
    </row>
    <row r="39" spans="1:4" x14ac:dyDescent="0.3">
      <c r="A39" s="58" t="s">
        <v>508</v>
      </c>
      <c r="B39" s="82">
        <v>0.42</v>
      </c>
      <c r="C39" s="7" t="s">
        <v>113</v>
      </c>
      <c r="D39">
        <v>4</v>
      </c>
    </row>
    <row r="40" spans="1:4" x14ac:dyDescent="0.3">
      <c r="A40" s="58" t="s">
        <v>508</v>
      </c>
      <c r="B40" s="82">
        <v>0.47299999999999998</v>
      </c>
      <c r="C40" s="7" t="s">
        <v>113</v>
      </c>
      <c r="D40">
        <v>4</v>
      </c>
    </row>
    <row r="41" spans="1:4" x14ac:dyDescent="0.3">
      <c r="A41" s="58" t="s">
        <v>508</v>
      </c>
      <c r="B41" s="82">
        <v>0.34</v>
      </c>
      <c r="C41" s="7" t="s">
        <v>113</v>
      </c>
      <c r="D41">
        <v>4</v>
      </c>
    </row>
    <row r="42" spans="1:4" x14ac:dyDescent="0.3">
      <c r="A42" s="58" t="s">
        <v>508</v>
      </c>
      <c r="B42" s="86">
        <v>0.31835205992509363</v>
      </c>
      <c r="C42" s="7" t="s">
        <v>114</v>
      </c>
      <c r="D42">
        <v>4</v>
      </c>
    </row>
    <row r="43" spans="1:4" x14ac:dyDescent="0.3">
      <c r="A43" s="58" t="s">
        <v>508</v>
      </c>
      <c r="B43" s="86">
        <v>0.31879194630872482</v>
      </c>
      <c r="C43" s="7" t="s">
        <v>114</v>
      </c>
      <c r="D43">
        <v>4</v>
      </c>
    </row>
    <row r="44" spans="1:4" x14ac:dyDescent="0.3">
      <c r="A44" s="58" t="s">
        <v>508</v>
      </c>
      <c r="B44" s="86">
        <v>0.37037037037037035</v>
      </c>
      <c r="C44" s="7" t="s">
        <v>114</v>
      </c>
      <c r="D44">
        <v>4</v>
      </c>
    </row>
    <row r="45" spans="1:4" x14ac:dyDescent="0.3">
      <c r="A45" s="58" t="s">
        <v>508</v>
      </c>
      <c r="B45" s="86">
        <v>0.3423180592991914</v>
      </c>
      <c r="C45" s="7" t="s">
        <v>114</v>
      </c>
      <c r="D45">
        <v>4</v>
      </c>
    </row>
    <row r="46" spans="1:4" x14ac:dyDescent="0.3">
      <c r="A46" s="58" t="s">
        <v>508</v>
      </c>
      <c r="B46" s="86">
        <v>0.38653366583541149</v>
      </c>
      <c r="C46" s="7" t="s">
        <v>114</v>
      </c>
      <c r="D46">
        <v>4</v>
      </c>
    </row>
    <row r="47" spans="1:4" x14ac:dyDescent="0.3">
      <c r="A47" s="58" t="s">
        <v>508</v>
      </c>
      <c r="B47" s="86">
        <v>0.39117647058823529</v>
      </c>
      <c r="C47" s="7" t="s">
        <v>114</v>
      </c>
      <c r="D47">
        <v>4</v>
      </c>
    </row>
    <row r="48" spans="1:4" x14ac:dyDescent="0.3">
      <c r="A48" s="58" t="s">
        <v>123</v>
      </c>
      <c r="B48" s="82">
        <v>0.18</v>
      </c>
      <c r="C48" s="7" t="s">
        <v>113</v>
      </c>
      <c r="D48">
        <v>5</v>
      </c>
    </row>
    <row r="49" spans="1:4" x14ac:dyDescent="0.3">
      <c r="A49" s="58" t="s">
        <v>123</v>
      </c>
      <c r="B49" s="82">
        <v>0.28000000000000003</v>
      </c>
      <c r="C49" s="7" t="s">
        <v>113</v>
      </c>
      <c r="D49">
        <v>5</v>
      </c>
    </row>
    <row r="50" spans="1:4" x14ac:dyDescent="0.3">
      <c r="A50" s="58" t="s">
        <v>123</v>
      </c>
      <c r="B50" s="82">
        <v>0.56000000000000005</v>
      </c>
      <c r="C50" s="7" t="s">
        <v>113</v>
      </c>
      <c r="D50">
        <v>5</v>
      </c>
    </row>
    <row r="51" spans="1:4" x14ac:dyDescent="0.3">
      <c r="A51" s="58" t="s">
        <v>123</v>
      </c>
      <c r="B51" s="82">
        <v>0.22359999999999999</v>
      </c>
      <c r="C51" s="7" t="s">
        <v>113</v>
      </c>
      <c r="D51">
        <v>5</v>
      </c>
    </row>
    <row r="52" spans="1:4" x14ac:dyDescent="0.3">
      <c r="A52" s="58" t="s">
        <v>123</v>
      </c>
      <c r="B52" s="86">
        <v>0.27271490774999996</v>
      </c>
      <c r="C52" s="7" t="s">
        <v>114</v>
      </c>
      <c r="D52">
        <v>5</v>
      </c>
    </row>
    <row r="53" spans="1:4" x14ac:dyDescent="0.3">
      <c r="A53" s="58" t="s">
        <v>123</v>
      </c>
      <c r="B53" s="86">
        <v>0.38126894099999997</v>
      </c>
      <c r="C53" s="7" t="s">
        <v>114</v>
      </c>
      <c r="D53">
        <v>5</v>
      </c>
    </row>
    <row r="54" spans="1:4" x14ac:dyDescent="0.3">
      <c r="A54" s="58" t="s">
        <v>123</v>
      </c>
      <c r="B54" s="86">
        <v>0.38791938300000001</v>
      </c>
      <c r="C54" s="7" t="s">
        <v>114</v>
      </c>
      <c r="D54">
        <v>5</v>
      </c>
    </row>
    <row r="55" spans="1:4" x14ac:dyDescent="0.3">
      <c r="A55" s="58" t="s">
        <v>123</v>
      </c>
      <c r="B55" s="86">
        <v>0.48020866600000001</v>
      </c>
      <c r="C55" s="7" t="s">
        <v>114</v>
      </c>
      <c r="D55">
        <v>5</v>
      </c>
    </row>
    <row r="56" spans="1:4" x14ac:dyDescent="0.3">
      <c r="A56" s="58" t="s">
        <v>123</v>
      </c>
      <c r="B56" s="86">
        <v>0.33314518000000004</v>
      </c>
      <c r="C56" s="7" t="s">
        <v>114</v>
      </c>
      <c r="D56">
        <v>5</v>
      </c>
    </row>
    <row r="57" spans="1:4" x14ac:dyDescent="0.3">
      <c r="A57" s="58" t="s">
        <v>509</v>
      </c>
      <c r="B57" s="82">
        <v>0.55000000000000004</v>
      </c>
      <c r="C57" s="7" t="s">
        <v>113</v>
      </c>
      <c r="D57">
        <v>6</v>
      </c>
    </row>
    <row r="58" spans="1:4" x14ac:dyDescent="0.3">
      <c r="A58" s="58" t="s">
        <v>509</v>
      </c>
      <c r="B58" s="82">
        <v>0.57999999999999996</v>
      </c>
      <c r="C58" s="7" t="s">
        <v>113</v>
      </c>
      <c r="D58">
        <v>6</v>
      </c>
    </row>
    <row r="59" spans="1:4" x14ac:dyDescent="0.3">
      <c r="A59" s="58" t="s">
        <v>509</v>
      </c>
      <c r="B59" s="82">
        <v>0.75</v>
      </c>
      <c r="C59" s="7" t="s">
        <v>113</v>
      </c>
      <c r="D59">
        <v>6</v>
      </c>
    </row>
    <row r="60" spans="1:4" x14ac:dyDescent="0.3">
      <c r="A60" s="58" t="s">
        <v>509</v>
      </c>
      <c r="B60" s="82">
        <v>0.57999999999999996</v>
      </c>
      <c r="C60" s="7" t="s">
        <v>113</v>
      </c>
      <c r="D60">
        <v>6</v>
      </c>
    </row>
    <row r="61" spans="1:4" x14ac:dyDescent="0.3">
      <c r="A61" s="58" t="s">
        <v>509</v>
      </c>
      <c r="B61" s="86">
        <v>0.5829596412556054</v>
      </c>
      <c r="C61" s="7" t="s">
        <v>114</v>
      </c>
      <c r="D61">
        <v>6</v>
      </c>
    </row>
    <row r="62" spans="1:4" x14ac:dyDescent="0.3">
      <c r="A62" s="58" t="s">
        <v>509</v>
      </c>
      <c r="B62" s="86">
        <v>0.5892857142857143</v>
      </c>
      <c r="C62" s="7" t="s">
        <v>114</v>
      </c>
      <c r="D62">
        <v>6</v>
      </c>
    </row>
    <row r="63" spans="1:4" x14ac:dyDescent="0.3">
      <c r="A63" s="58" t="s">
        <v>509</v>
      </c>
      <c r="B63" s="86">
        <v>0.5728952772073922</v>
      </c>
      <c r="C63" s="7" t="s">
        <v>114</v>
      </c>
      <c r="D63">
        <v>6</v>
      </c>
    </row>
    <row r="64" spans="1:4" x14ac:dyDescent="0.3">
      <c r="A64" s="58" t="s">
        <v>509</v>
      </c>
      <c r="B64" s="86">
        <v>0.5625</v>
      </c>
      <c r="C64" s="7" t="s">
        <v>114</v>
      </c>
      <c r="D64">
        <v>6</v>
      </c>
    </row>
    <row r="65" spans="1:4" x14ac:dyDescent="0.3">
      <c r="A65" s="58" t="s">
        <v>509</v>
      </c>
      <c r="B65" s="86">
        <v>0.59403669724770647</v>
      </c>
      <c r="C65" s="7" t="s">
        <v>114</v>
      </c>
      <c r="D65">
        <v>6</v>
      </c>
    </row>
    <row r="66" spans="1:4" x14ac:dyDescent="0.3">
      <c r="A66" s="58" t="s">
        <v>509</v>
      </c>
      <c r="B66" s="86">
        <v>0.52463768115942033</v>
      </c>
      <c r="C66" s="7" t="s">
        <v>114</v>
      </c>
      <c r="D66">
        <v>6</v>
      </c>
    </row>
    <row r="67" spans="1:4" x14ac:dyDescent="0.3">
      <c r="A67" s="58" t="s">
        <v>125</v>
      </c>
      <c r="B67" s="82">
        <v>0.4</v>
      </c>
      <c r="C67" s="7" t="s">
        <v>113</v>
      </c>
      <c r="D67">
        <v>7</v>
      </c>
    </row>
    <row r="68" spans="1:4" x14ac:dyDescent="0.3">
      <c r="A68" s="58" t="s">
        <v>125</v>
      </c>
      <c r="B68" s="82">
        <v>0.56999999999999995</v>
      </c>
      <c r="C68" s="7" t="s">
        <v>113</v>
      </c>
      <c r="D68">
        <v>7</v>
      </c>
    </row>
    <row r="69" spans="1:4" x14ac:dyDescent="0.3">
      <c r="A69" s="58" t="s">
        <v>125</v>
      </c>
      <c r="B69" s="86">
        <v>0.39212007504690433</v>
      </c>
      <c r="C69" s="7" t="s">
        <v>114</v>
      </c>
      <c r="D69">
        <v>7</v>
      </c>
    </row>
    <row r="70" spans="1:4" x14ac:dyDescent="0.3">
      <c r="A70" s="58" t="s">
        <v>125</v>
      </c>
      <c r="B70" s="86">
        <v>0.35628742514970058</v>
      </c>
      <c r="C70" s="7" t="s">
        <v>114</v>
      </c>
      <c r="D70">
        <v>7</v>
      </c>
    </row>
    <row r="71" spans="1:4" x14ac:dyDescent="0.3">
      <c r="A71" s="58" t="s">
        <v>125</v>
      </c>
      <c r="B71" s="86">
        <v>0.36792452830188677</v>
      </c>
      <c r="C71" s="7" t="s">
        <v>114</v>
      </c>
      <c r="D71">
        <v>7</v>
      </c>
    </row>
    <row r="72" spans="1:4" x14ac:dyDescent="0.3">
      <c r="A72" s="58" t="s">
        <v>125</v>
      </c>
      <c r="B72" s="86">
        <v>0.34</v>
      </c>
      <c r="C72" s="7" t="s">
        <v>114</v>
      </c>
      <c r="D72">
        <v>7</v>
      </c>
    </row>
    <row r="73" spans="1:4" x14ac:dyDescent="0.3">
      <c r="A73" s="58" t="s">
        <v>125</v>
      </c>
      <c r="B73" s="86">
        <v>0.39171974522292996</v>
      </c>
      <c r="C73" s="7" t="s">
        <v>114</v>
      </c>
      <c r="D73">
        <v>7</v>
      </c>
    </row>
    <row r="74" spans="1:4" x14ac:dyDescent="0.3">
      <c r="A74" s="58" t="s">
        <v>125</v>
      </c>
      <c r="B74" s="86">
        <v>0.41425818882466281</v>
      </c>
      <c r="C74" s="7" t="s">
        <v>114</v>
      </c>
      <c r="D74">
        <v>7</v>
      </c>
    </row>
    <row r="75" spans="1:4" x14ac:dyDescent="0.3">
      <c r="A75" s="58" t="s">
        <v>510</v>
      </c>
      <c r="B75" s="82">
        <v>0.52</v>
      </c>
      <c r="C75" s="7" t="s">
        <v>113</v>
      </c>
      <c r="D75">
        <v>8</v>
      </c>
    </row>
    <row r="76" spans="1:4" x14ac:dyDescent="0.3">
      <c r="A76" s="58" t="s">
        <v>510</v>
      </c>
      <c r="B76" s="82">
        <v>0.7</v>
      </c>
      <c r="C76" s="7" t="s">
        <v>113</v>
      </c>
      <c r="D76">
        <v>8</v>
      </c>
    </row>
    <row r="77" spans="1:4" x14ac:dyDescent="0.3">
      <c r="A77" s="58" t="s">
        <v>510</v>
      </c>
      <c r="B77" s="82">
        <v>0.7</v>
      </c>
      <c r="C77" s="7" t="s">
        <v>113</v>
      </c>
      <c r="D77">
        <v>8</v>
      </c>
    </row>
    <row r="78" spans="1:4" x14ac:dyDescent="0.3">
      <c r="A78" s="58" t="s">
        <v>510</v>
      </c>
      <c r="B78" s="82">
        <v>0.6</v>
      </c>
      <c r="C78" s="7" t="s">
        <v>113</v>
      </c>
      <c r="D78">
        <v>8</v>
      </c>
    </row>
    <row r="79" spans="1:4" x14ac:dyDescent="0.3">
      <c r="A79" s="58" t="s">
        <v>510</v>
      </c>
      <c r="B79" s="86">
        <v>0.5536723163841808</v>
      </c>
      <c r="C79" s="7" t="s">
        <v>114</v>
      </c>
      <c r="D79">
        <v>8</v>
      </c>
    </row>
    <row r="80" spans="1:4" x14ac:dyDescent="0.3">
      <c r="A80" s="58" t="s">
        <v>510</v>
      </c>
      <c r="B80" s="86">
        <v>0.56756756756756754</v>
      </c>
      <c r="C80" s="7" t="s">
        <v>114</v>
      </c>
      <c r="D80">
        <v>8</v>
      </c>
    </row>
    <row r="81" spans="1:4" x14ac:dyDescent="0.3">
      <c r="A81" s="58" t="s">
        <v>510</v>
      </c>
      <c r="B81" s="86">
        <v>0.64782608695652177</v>
      </c>
      <c r="C81" s="7" t="s">
        <v>114</v>
      </c>
      <c r="D81">
        <v>8</v>
      </c>
    </row>
    <row r="82" spans="1:4" x14ac:dyDescent="0.3">
      <c r="A82" s="58" t="s">
        <v>510</v>
      </c>
      <c r="B82" s="86">
        <v>0.55102040816326525</v>
      </c>
      <c r="C82" s="7" t="s">
        <v>114</v>
      </c>
      <c r="D82">
        <v>8</v>
      </c>
    </row>
    <row r="83" spans="1:4" x14ac:dyDescent="0.3">
      <c r="A83" s="58" t="s">
        <v>510</v>
      </c>
      <c r="B83" s="86">
        <v>0.61440677966101698</v>
      </c>
      <c r="C83" s="7" t="s">
        <v>114</v>
      </c>
      <c r="D83">
        <v>8</v>
      </c>
    </row>
    <row r="84" spans="1:4" x14ac:dyDescent="0.3">
      <c r="A84" s="58" t="s">
        <v>510</v>
      </c>
      <c r="B84" s="86">
        <v>0.51502145922746778</v>
      </c>
      <c r="C84" s="7" t="s">
        <v>114</v>
      </c>
      <c r="D84">
        <v>8</v>
      </c>
    </row>
    <row r="85" spans="1:4" x14ac:dyDescent="0.3">
      <c r="A85" s="58" t="s">
        <v>127</v>
      </c>
      <c r="B85" s="82">
        <v>0.4</v>
      </c>
      <c r="C85" s="7" t="s">
        <v>113</v>
      </c>
      <c r="D85">
        <v>9</v>
      </c>
    </row>
    <row r="86" spans="1:4" x14ac:dyDescent="0.3">
      <c r="A86" s="58" t="s">
        <v>127</v>
      </c>
      <c r="B86" s="82">
        <v>0.49</v>
      </c>
      <c r="C86" s="7" t="s">
        <v>113</v>
      </c>
      <c r="D86">
        <v>9</v>
      </c>
    </row>
    <row r="87" spans="1:4" x14ac:dyDescent="0.3">
      <c r="A87" s="58" t="s">
        <v>127</v>
      </c>
      <c r="B87" s="82">
        <v>0.6</v>
      </c>
      <c r="C87" s="7" t="s">
        <v>113</v>
      </c>
      <c r="D87">
        <v>9</v>
      </c>
    </row>
    <row r="88" spans="1:4" x14ac:dyDescent="0.3">
      <c r="A88" s="58" t="s">
        <v>127</v>
      </c>
      <c r="B88" s="86">
        <v>0.39500000000000002</v>
      </c>
      <c r="C88" s="7" t="s">
        <v>114</v>
      </c>
      <c r="D88">
        <v>9</v>
      </c>
    </row>
    <row r="89" spans="1:4" x14ac:dyDescent="0.3">
      <c r="A89" s="58" t="s">
        <v>127</v>
      </c>
      <c r="B89" s="86">
        <v>0.46368715083798884</v>
      </c>
      <c r="C89" s="7" t="s">
        <v>114</v>
      </c>
      <c r="D89">
        <v>9</v>
      </c>
    </row>
    <row r="90" spans="1:4" x14ac:dyDescent="0.3">
      <c r="A90" s="58" t="s">
        <v>127</v>
      </c>
      <c r="B90" s="86">
        <v>0.42857142857142855</v>
      </c>
      <c r="C90" s="7" t="s">
        <v>114</v>
      </c>
      <c r="D90">
        <v>9</v>
      </c>
    </row>
    <row r="91" spans="1:4" x14ac:dyDescent="0.3">
      <c r="A91" s="58" t="s">
        <v>127</v>
      </c>
      <c r="B91" s="86">
        <v>0.40625</v>
      </c>
      <c r="C91" s="7" t="s">
        <v>114</v>
      </c>
      <c r="D91">
        <v>9</v>
      </c>
    </row>
    <row r="92" spans="1:4" x14ac:dyDescent="0.3">
      <c r="A92" s="58" t="s">
        <v>127</v>
      </c>
      <c r="B92" s="86">
        <v>0.43792325056433407</v>
      </c>
      <c r="C92" s="7" t="s">
        <v>114</v>
      </c>
      <c r="D92">
        <v>9</v>
      </c>
    </row>
    <row r="93" spans="1:4" x14ac:dyDescent="0.3">
      <c r="A93" s="58" t="s">
        <v>127</v>
      </c>
      <c r="B93" s="86">
        <v>0.45070422535211269</v>
      </c>
      <c r="C93" s="7" t="s">
        <v>114</v>
      </c>
      <c r="D93">
        <v>9</v>
      </c>
    </row>
    <row r="94" spans="1:4" x14ac:dyDescent="0.3">
      <c r="A94" s="58" t="s">
        <v>511</v>
      </c>
      <c r="B94" s="82">
        <v>0.73</v>
      </c>
      <c r="C94" s="7" t="s">
        <v>113</v>
      </c>
      <c r="D94">
        <v>10</v>
      </c>
    </row>
    <row r="95" spans="1:4" x14ac:dyDescent="0.3">
      <c r="A95" s="58" t="s">
        <v>511</v>
      </c>
      <c r="B95" s="82">
        <v>0.98</v>
      </c>
      <c r="C95" s="7" t="s">
        <v>113</v>
      </c>
      <c r="D95">
        <v>10</v>
      </c>
    </row>
    <row r="96" spans="1:4" x14ac:dyDescent="0.3">
      <c r="A96" s="58" t="s">
        <v>511</v>
      </c>
      <c r="B96" s="82">
        <v>1.1000000000000001</v>
      </c>
      <c r="C96" s="7" t="s">
        <v>113</v>
      </c>
      <c r="D96">
        <v>10</v>
      </c>
    </row>
    <row r="97" spans="1:4" x14ac:dyDescent="0.3">
      <c r="A97" s="58" t="s">
        <v>511</v>
      </c>
      <c r="B97" s="82">
        <v>0.89</v>
      </c>
      <c r="C97" s="7" t="s">
        <v>113</v>
      </c>
      <c r="D97">
        <v>10</v>
      </c>
    </row>
    <row r="98" spans="1:4" x14ac:dyDescent="0.3">
      <c r="A98" s="58" t="s">
        <v>511</v>
      </c>
      <c r="B98" s="82">
        <v>1.04</v>
      </c>
      <c r="C98" s="7" t="s">
        <v>113</v>
      </c>
      <c r="D98">
        <v>10</v>
      </c>
    </row>
    <row r="99" spans="1:4" x14ac:dyDescent="0.3">
      <c r="A99" s="58" t="s">
        <v>511</v>
      </c>
      <c r="B99" s="82">
        <v>0.88</v>
      </c>
      <c r="C99" s="7" t="s">
        <v>113</v>
      </c>
      <c r="D99">
        <v>10</v>
      </c>
    </row>
    <row r="100" spans="1:4" x14ac:dyDescent="0.3">
      <c r="A100" s="58" t="s">
        <v>511</v>
      </c>
      <c r="B100" s="86">
        <v>0.65610859728506787</v>
      </c>
      <c r="C100" s="7" t="s">
        <v>114</v>
      </c>
      <c r="D100">
        <v>10</v>
      </c>
    </row>
    <row r="101" spans="1:4" x14ac:dyDescent="0.3">
      <c r="A101" s="58" t="s">
        <v>511</v>
      </c>
      <c r="B101" s="86">
        <v>0.71647509578544066</v>
      </c>
      <c r="C101" s="7" t="s">
        <v>114</v>
      </c>
      <c r="D101">
        <v>10</v>
      </c>
    </row>
    <row r="102" spans="1:4" x14ac:dyDescent="0.3">
      <c r="A102" s="58" t="s">
        <v>511</v>
      </c>
      <c r="B102" s="82">
        <v>0.72508591065292094</v>
      </c>
      <c r="C102" s="7" t="s">
        <v>114</v>
      </c>
      <c r="D102">
        <v>10</v>
      </c>
    </row>
    <row r="103" spans="1:4" x14ac:dyDescent="0.3">
      <c r="A103" s="58" t="s">
        <v>511</v>
      </c>
      <c r="B103" s="87">
        <v>0.69483568075117375</v>
      </c>
      <c r="C103" s="7" t="s">
        <v>114</v>
      </c>
      <c r="D103">
        <v>10</v>
      </c>
    </row>
    <row r="104" spans="1:4" x14ac:dyDescent="0.3">
      <c r="A104" s="58" t="s">
        <v>511</v>
      </c>
      <c r="B104" s="86">
        <v>0.67073170731707321</v>
      </c>
      <c r="C104" s="7" t="s">
        <v>114</v>
      </c>
      <c r="D104">
        <v>10</v>
      </c>
    </row>
    <row r="105" spans="1:4" x14ac:dyDescent="0.3">
      <c r="A105" s="58" t="s">
        <v>511</v>
      </c>
      <c r="B105" s="86">
        <v>0.703125</v>
      </c>
      <c r="C105" s="7" t="s">
        <v>114</v>
      </c>
      <c r="D105">
        <v>10</v>
      </c>
    </row>
    <row r="106" spans="1:4" x14ac:dyDescent="0.3">
      <c r="A106" s="58" t="s">
        <v>129</v>
      </c>
      <c r="B106" s="82">
        <v>0.42</v>
      </c>
      <c r="C106" s="7" t="s">
        <v>113</v>
      </c>
      <c r="D106">
        <v>11</v>
      </c>
    </row>
    <row r="107" spans="1:4" x14ac:dyDescent="0.3">
      <c r="A107" s="58" t="s">
        <v>129</v>
      </c>
      <c r="B107" s="82">
        <v>0.53</v>
      </c>
      <c r="C107" s="7" t="s">
        <v>113</v>
      </c>
      <c r="D107">
        <v>11</v>
      </c>
    </row>
    <row r="108" spans="1:4" x14ac:dyDescent="0.3">
      <c r="A108" s="58" t="s">
        <v>129</v>
      </c>
      <c r="B108" s="82">
        <v>0.33539999999999998</v>
      </c>
      <c r="C108" s="7" t="s">
        <v>113</v>
      </c>
      <c r="D108">
        <v>11</v>
      </c>
    </row>
    <row r="109" spans="1:4" x14ac:dyDescent="0.3">
      <c r="A109" s="58" t="s">
        <v>129</v>
      </c>
      <c r="B109" s="82">
        <v>0.28895999999999999</v>
      </c>
      <c r="C109" s="7" t="s">
        <v>113</v>
      </c>
      <c r="D109">
        <v>11</v>
      </c>
    </row>
    <row r="110" spans="1:4" x14ac:dyDescent="0.3">
      <c r="A110" s="58" t="s">
        <v>129</v>
      </c>
      <c r="B110" s="82">
        <v>0.38</v>
      </c>
      <c r="C110" s="7" t="s">
        <v>113</v>
      </c>
      <c r="D110">
        <v>11</v>
      </c>
    </row>
    <row r="111" spans="1:4" x14ac:dyDescent="0.3">
      <c r="A111" s="58" t="s">
        <v>129</v>
      </c>
      <c r="B111" s="82">
        <v>0.43</v>
      </c>
      <c r="C111" s="7" t="s">
        <v>113</v>
      </c>
      <c r="D111">
        <v>11</v>
      </c>
    </row>
    <row r="112" spans="1:4" x14ac:dyDescent="0.3">
      <c r="A112" s="58" t="s">
        <v>129</v>
      </c>
      <c r="B112" s="82">
        <v>0.3</v>
      </c>
      <c r="C112" s="7" t="s">
        <v>113</v>
      </c>
      <c r="D112">
        <v>11</v>
      </c>
    </row>
    <row r="113" spans="1:4" x14ac:dyDescent="0.3">
      <c r="A113" s="58" t="s">
        <v>129</v>
      </c>
      <c r="B113" s="86">
        <v>0.323709941</v>
      </c>
      <c r="C113" s="7" t="s">
        <v>114</v>
      </c>
      <c r="D113">
        <v>11</v>
      </c>
    </row>
    <row r="114" spans="1:4" x14ac:dyDescent="0.3">
      <c r="A114" s="58" t="s">
        <v>129</v>
      </c>
      <c r="B114" s="86">
        <v>0.325017326</v>
      </c>
      <c r="C114" s="7" t="s">
        <v>114</v>
      </c>
      <c r="D114">
        <v>11</v>
      </c>
    </row>
    <row r="115" spans="1:4" x14ac:dyDescent="0.3">
      <c r="A115" s="58" t="s">
        <v>129</v>
      </c>
      <c r="B115" s="86">
        <v>0.347065495</v>
      </c>
      <c r="C115" s="7" t="s">
        <v>114</v>
      </c>
      <c r="D115">
        <v>11</v>
      </c>
    </row>
    <row r="116" spans="1:4" x14ac:dyDescent="0.3">
      <c r="A116" s="58" t="s">
        <v>129</v>
      </c>
      <c r="B116" s="86">
        <v>0.28791350799999998</v>
      </c>
      <c r="C116" s="7" t="s">
        <v>114</v>
      </c>
      <c r="D116">
        <v>11</v>
      </c>
    </row>
    <row r="117" spans="1:4" x14ac:dyDescent="0.3">
      <c r="A117" s="58" t="s">
        <v>129</v>
      </c>
      <c r="B117" s="86">
        <v>0.31213714199999998</v>
      </c>
      <c r="C117" s="7" t="s">
        <v>114</v>
      </c>
      <c r="D117">
        <v>11</v>
      </c>
    </row>
    <row r="118" spans="1:4" x14ac:dyDescent="0.3">
      <c r="A118" s="58" t="s">
        <v>129</v>
      </c>
      <c r="B118" s="86">
        <v>0.36517019699999997</v>
      </c>
      <c r="C118" s="7" t="s">
        <v>114</v>
      </c>
      <c r="D118">
        <v>11</v>
      </c>
    </row>
    <row r="119" spans="1:4" x14ac:dyDescent="0.3">
      <c r="A119" s="58" t="s">
        <v>85</v>
      </c>
      <c r="B119" s="82">
        <v>0.4</v>
      </c>
      <c r="C119" s="7" t="s">
        <v>113</v>
      </c>
      <c r="D119">
        <v>12</v>
      </c>
    </row>
    <row r="120" spans="1:4" x14ac:dyDescent="0.3">
      <c r="A120" s="58" t="s">
        <v>85</v>
      </c>
      <c r="B120" s="86">
        <v>0.52661747799999992</v>
      </c>
      <c r="C120" s="7" t="s">
        <v>114</v>
      </c>
      <c r="D120">
        <v>12</v>
      </c>
    </row>
    <row r="121" spans="1:4" x14ac:dyDescent="0.3">
      <c r="A121" s="58" t="s">
        <v>85</v>
      </c>
      <c r="B121" s="86">
        <v>0.52435211349999999</v>
      </c>
      <c r="C121" s="7" t="s">
        <v>114</v>
      </c>
      <c r="D121">
        <v>12</v>
      </c>
    </row>
    <row r="122" spans="1:4" x14ac:dyDescent="0.3">
      <c r="A122" s="58" t="s">
        <v>85</v>
      </c>
      <c r="B122" s="86">
        <v>0.59839607350000001</v>
      </c>
      <c r="C122" s="7" t="s">
        <v>114</v>
      </c>
      <c r="D122">
        <v>12</v>
      </c>
    </row>
    <row r="123" spans="1:4" x14ac:dyDescent="0.3">
      <c r="A123" s="58" t="s">
        <v>85</v>
      </c>
      <c r="B123" s="86">
        <v>0.48454364475</v>
      </c>
      <c r="C123" s="7" t="s">
        <v>114</v>
      </c>
      <c r="D123">
        <v>12</v>
      </c>
    </row>
    <row r="124" spans="1:4" x14ac:dyDescent="0.3">
      <c r="A124" s="58" t="s">
        <v>85</v>
      </c>
      <c r="B124" s="86">
        <v>0.54965722949999996</v>
      </c>
      <c r="C124" s="7" t="s">
        <v>114</v>
      </c>
      <c r="D124">
        <v>12</v>
      </c>
    </row>
    <row r="125" spans="1:4" x14ac:dyDescent="0.3">
      <c r="A125" s="58" t="s">
        <v>130</v>
      </c>
      <c r="B125" s="82">
        <v>0.75</v>
      </c>
      <c r="C125" s="7" t="s">
        <v>113</v>
      </c>
      <c r="D125">
        <v>13</v>
      </c>
    </row>
    <row r="126" spans="1:4" x14ac:dyDescent="0.3">
      <c r="A126" s="58" t="s">
        <v>130</v>
      </c>
      <c r="B126" s="82">
        <v>0.74</v>
      </c>
      <c r="C126" s="7" t="s">
        <v>113</v>
      </c>
      <c r="D126">
        <v>13</v>
      </c>
    </row>
    <row r="127" spans="1:4" x14ac:dyDescent="0.3">
      <c r="A127" s="58" t="s">
        <v>130</v>
      </c>
      <c r="B127" s="82">
        <v>0.82</v>
      </c>
      <c r="C127" s="7" t="s">
        <v>113</v>
      </c>
      <c r="D127">
        <v>13</v>
      </c>
    </row>
    <row r="128" spans="1:4" x14ac:dyDescent="0.3">
      <c r="A128" s="58" t="s">
        <v>130</v>
      </c>
      <c r="B128" s="82">
        <v>0.76500000000000001</v>
      </c>
      <c r="C128" s="7" t="s">
        <v>113</v>
      </c>
      <c r="D128">
        <v>13</v>
      </c>
    </row>
    <row r="129" spans="1:4" x14ac:dyDescent="0.3">
      <c r="A129" s="58" t="s">
        <v>130</v>
      </c>
      <c r="B129" s="82">
        <v>0.96</v>
      </c>
      <c r="C129" s="7" t="s">
        <v>113</v>
      </c>
      <c r="D129">
        <v>13</v>
      </c>
    </row>
    <row r="130" spans="1:4" x14ac:dyDescent="0.3">
      <c r="A130" s="58" t="s">
        <v>130</v>
      </c>
      <c r="B130" s="82">
        <v>0.79</v>
      </c>
      <c r="C130" s="7" t="s">
        <v>113</v>
      </c>
      <c r="D130">
        <v>13</v>
      </c>
    </row>
    <row r="131" spans="1:4" x14ac:dyDescent="0.3">
      <c r="A131" s="58" t="s">
        <v>130</v>
      </c>
      <c r="B131" s="82">
        <v>0.7</v>
      </c>
      <c r="C131" s="7" t="s">
        <v>113</v>
      </c>
      <c r="D131">
        <v>13</v>
      </c>
    </row>
    <row r="132" spans="1:4" x14ac:dyDescent="0.3">
      <c r="A132" s="58" t="s">
        <v>130</v>
      </c>
      <c r="B132" s="82">
        <v>0.9</v>
      </c>
      <c r="C132" s="7" t="s">
        <v>113</v>
      </c>
      <c r="D132">
        <v>13</v>
      </c>
    </row>
    <row r="133" spans="1:4" x14ac:dyDescent="0.3">
      <c r="A133" s="58" t="s">
        <v>130</v>
      </c>
      <c r="B133" s="82">
        <v>0.68</v>
      </c>
      <c r="C133" s="7" t="s">
        <v>113</v>
      </c>
      <c r="D133">
        <v>13</v>
      </c>
    </row>
    <row r="134" spans="1:4" x14ac:dyDescent="0.3">
      <c r="A134" s="58" t="s">
        <v>130</v>
      </c>
      <c r="B134" s="82">
        <v>0.71</v>
      </c>
      <c r="C134" s="7" t="s">
        <v>113</v>
      </c>
      <c r="D134">
        <v>13</v>
      </c>
    </row>
    <row r="135" spans="1:4" x14ac:dyDescent="0.3">
      <c r="A135" s="58" t="s">
        <v>130</v>
      </c>
      <c r="B135" s="82">
        <v>0.75768000000000002</v>
      </c>
      <c r="C135" s="7" t="s">
        <v>113</v>
      </c>
      <c r="D135">
        <v>13</v>
      </c>
    </row>
    <row r="136" spans="1:4" x14ac:dyDescent="0.3">
      <c r="A136" s="58" t="s">
        <v>130</v>
      </c>
      <c r="B136" s="82">
        <v>0.8</v>
      </c>
      <c r="C136" s="7" t="s">
        <v>113</v>
      </c>
      <c r="D136">
        <v>13</v>
      </c>
    </row>
    <row r="137" spans="1:4" x14ac:dyDescent="0.3">
      <c r="A137" s="58" t="s">
        <v>130</v>
      </c>
      <c r="B137" s="82">
        <v>0.77</v>
      </c>
      <c r="C137" s="7" t="s">
        <v>113</v>
      </c>
      <c r="D137">
        <v>13</v>
      </c>
    </row>
    <row r="138" spans="1:4" x14ac:dyDescent="0.3">
      <c r="A138" s="58" t="s">
        <v>130</v>
      </c>
      <c r="B138" s="82">
        <v>0.85699999999999998</v>
      </c>
      <c r="C138" s="7" t="s">
        <v>113</v>
      </c>
      <c r="D138">
        <v>13</v>
      </c>
    </row>
    <row r="139" spans="1:4" x14ac:dyDescent="0.3">
      <c r="A139" s="58" t="s">
        <v>130</v>
      </c>
      <c r="B139" s="82">
        <v>0.85699999999999998</v>
      </c>
      <c r="C139" s="7" t="s">
        <v>113</v>
      </c>
      <c r="D139">
        <v>13</v>
      </c>
    </row>
    <row r="140" spans="1:4" x14ac:dyDescent="0.3">
      <c r="A140" s="58" t="s">
        <v>130</v>
      </c>
      <c r="B140" s="82">
        <v>0.86</v>
      </c>
      <c r="C140" s="7" t="s">
        <v>113</v>
      </c>
      <c r="D140">
        <v>13</v>
      </c>
    </row>
    <row r="141" spans="1:4" x14ac:dyDescent="0.3">
      <c r="A141" s="58" t="s">
        <v>130</v>
      </c>
      <c r="B141" s="82">
        <v>0.82</v>
      </c>
      <c r="C141" s="7" t="s">
        <v>113</v>
      </c>
      <c r="D141">
        <v>13</v>
      </c>
    </row>
    <row r="142" spans="1:4" x14ac:dyDescent="0.3">
      <c r="A142" s="58" t="s">
        <v>130</v>
      </c>
      <c r="B142" s="82">
        <v>0.71</v>
      </c>
      <c r="C142" s="7" t="s">
        <v>113</v>
      </c>
      <c r="D142">
        <v>13</v>
      </c>
    </row>
    <row r="143" spans="1:4" x14ac:dyDescent="0.3">
      <c r="A143" s="58" t="s">
        <v>130</v>
      </c>
      <c r="B143" s="82">
        <v>0.76</v>
      </c>
      <c r="C143" s="7" t="s">
        <v>113</v>
      </c>
      <c r="D143">
        <v>13</v>
      </c>
    </row>
    <row r="144" spans="1:4" x14ac:dyDescent="0.3">
      <c r="A144" s="58" t="s">
        <v>130</v>
      </c>
      <c r="B144" s="86">
        <v>0.77426842799999995</v>
      </c>
      <c r="C144" s="7" t="s">
        <v>114</v>
      </c>
      <c r="D144">
        <v>13</v>
      </c>
    </row>
    <row r="145" spans="1:4" x14ac:dyDescent="0.3">
      <c r="A145" s="58" t="s">
        <v>130</v>
      </c>
      <c r="B145" s="86">
        <v>0.747475</v>
      </c>
      <c r="C145" s="7" t="s">
        <v>114</v>
      </c>
      <c r="D145">
        <v>13</v>
      </c>
    </row>
    <row r="146" spans="1:4" x14ac:dyDescent="0.3">
      <c r="A146" s="58" t="s">
        <v>130</v>
      </c>
      <c r="B146" s="86">
        <v>0.75615252483599993</v>
      </c>
      <c r="C146" s="7" t="s">
        <v>114</v>
      </c>
      <c r="D146">
        <v>13</v>
      </c>
    </row>
    <row r="147" spans="1:4" x14ac:dyDescent="0.3">
      <c r="A147" s="58" t="s">
        <v>130</v>
      </c>
      <c r="B147" s="86">
        <v>0.74150346499999997</v>
      </c>
      <c r="C147" s="7" t="s">
        <v>114</v>
      </c>
      <c r="D147">
        <v>13</v>
      </c>
    </row>
    <row r="148" spans="1:4" x14ac:dyDescent="0.3">
      <c r="A148" s="58" t="s">
        <v>130</v>
      </c>
      <c r="B148" s="86">
        <v>0.77283480800000004</v>
      </c>
      <c r="C148" s="7" t="s">
        <v>114</v>
      </c>
      <c r="D148">
        <v>13</v>
      </c>
    </row>
    <row r="149" spans="1:4" x14ac:dyDescent="0.3">
      <c r="A149" s="58" t="s">
        <v>130</v>
      </c>
      <c r="B149" s="86">
        <v>0.74427674977799996</v>
      </c>
      <c r="C149" s="7" t="s">
        <v>114</v>
      </c>
      <c r="D149">
        <v>13</v>
      </c>
    </row>
    <row r="150" spans="1:4" x14ac:dyDescent="0.3">
      <c r="A150" s="58" t="s">
        <v>74</v>
      </c>
      <c r="B150" s="82">
        <v>0.5</v>
      </c>
      <c r="C150" s="7" t="s">
        <v>113</v>
      </c>
      <c r="D150">
        <v>14</v>
      </c>
    </row>
    <row r="151" spans="1:4" x14ac:dyDescent="0.3">
      <c r="A151" s="58" t="s">
        <v>74</v>
      </c>
      <c r="B151" s="82">
        <v>0.68</v>
      </c>
      <c r="C151" s="7" t="s">
        <v>113</v>
      </c>
      <c r="D151">
        <v>14</v>
      </c>
    </row>
    <row r="152" spans="1:4" x14ac:dyDescent="0.3">
      <c r="A152" s="58" t="s">
        <v>74</v>
      </c>
      <c r="B152" s="86">
        <v>0.71966527196652719</v>
      </c>
      <c r="C152" s="7" t="s">
        <v>114</v>
      </c>
      <c r="D152">
        <v>14</v>
      </c>
    </row>
    <row r="153" spans="1:4" x14ac:dyDescent="0.3">
      <c r="A153" s="58" t="s">
        <v>74</v>
      </c>
      <c r="B153" s="86">
        <v>0.52684563758389258</v>
      </c>
      <c r="C153" s="7" t="s">
        <v>114</v>
      </c>
      <c r="D153">
        <v>14</v>
      </c>
    </row>
    <row r="154" spans="1:4" x14ac:dyDescent="0.3">
      <c r="A154" s="58" t="s">
        <v>74</v>
      </c>
      <c r="B154" s="86">
        <v>0.48806366047745359</v>
      </c>
      <c r="C154" s="7" t="s">
        <v>114</v>
      </c>
      <c r="D154">
        <v>14</v>
      </c>
    </row>
    <row r="155" spans="1:4" x14ac:dyDescent="0.3">
      <c r="A155" s="58" t="s">
        <v>74</v>
      </c>
      <c r="B155" s="86">
        <v>0.50764525993883791</v>
      </c>
      <c r="C155" s="7" t="s">
        <v>114</v>
      </c>
      <c r="D155">
        <v>14</v>
      </c>
    </row>
    <row r="156" spans="1:4" x14ac:dyDescent="0.3">
      <c r="A156" s="58" t="s">
        <v>74</v>
      </c>
      <c r="B156" s="86">
        <v>0.54304635761589404</v>
      </c>
      <c r="C156" s="7" t="s">
        <v>114</v>
      </c>
      <c r="D156">
        <v>14</v>
      </c>
    </row>
    <row r="157" spans="1:4" x14ac:dyDescent="0.3">
      <c r="A157" s="58" t="s">
        <v>74</v>
      </c>
      <c r="B157" s="86">
        <v>0.56195965417867433</v>
      </c>
      <c r="C157" s="7" t="s">
        <v>114</v>
      </c>
      <c r="D157">
        <v>14</v>
      </c>
    </row>
    <row r="158" spans="1:4" x14ac:dyDescent="0.3">
      <c r="A158" s="58" t="s">
        <v>131</v>
      </c>
      <c r="B158" s="82">
        <v>0.53</v>
      </c>
      <c r="C158" s="7" t="s">
        <v>113</v>
      </c>
      <c r="D158">
        <v>15</v>
      </c>
    </row>
    <row r="159" spans="1:4" x14ac:dyDescent="0.3">
      <c r="A159" s="58" t="s">
        <v>131</v>
      </c>
      <c r="B159" s="82">
        <v>0.64</v>
      </c>
      <c r="C159" s="7" t="s">
        <v>113</v>
      </c>
      <c r="D159">
        <v>15</v>
      </c>
    </row>
    <row r="160" spans="1:4" x14ac:dyDescent="0.3">
      <c r="A160" s="58" t="s">
        <v>131</v>
      </c>
      <c r="B160" s="82">
        <v>0.53320000000000001</v>
      </c>
      <c r="C160" s="7" t="s">
        <v>113</v>
      </c>
      <c r="D160">
        <v>15</v>
      </c>
    </row>
    <row r="161" spans="1:4" x14ac:dyDescent="0.3">
      <c r="A161" s="58" t="s">
        <v>131</v>
      </c>
      <c r="B161" s="82">
        <v>0.51600000000000001</v>
      </c>
      <c r="C161" s="7" t="s">
        <v>113</v>
      </c>
      <c r="D161">
        <v>15</v>
      </c>
    </row>
    <row r="162" spans="1:4" x14ac:dyDescent="0.3">
      <c r="A162" s="58" t="s">
        <v>131</v>
      </c>
      <c r="B162" s="86">
        <v>0.70277513399999991</v>
      </c>
      <c r="C162" s="7" t="s">
        <v>114</v>
      </c>
      <c r="D162">
        <v>15</v>
      </c>
    </row>
    <row r="163" spans="1:4" x14ac:dyDescent="0.3">
      <c r="A163" s="58" t="s">
        <v>131</v>
      </c>
      <c r="B163" s="86">
        <v>0.67274608633333344</v>
      </c>
      <c r="C163" s="7" t="s">
        <v>114</v>
      </c>
      <c r="D163">
        <v>15</v>
      </c>
    </row>
    <row r="164" spans="1:4" x14ac:dyDescent="0.3">
      <c r="A164" s="58" t="s">
        <v>131</v>
      </c>
      <c r="B164" s="86">
        <v>0.68866875125000004</v>
      </c>
      <c r="C164" s="7" t="s">
        <v>114</v>
      </c>
      <c r="D164">
        <v>15</v>
      </c>
    </row>
    <row r="165" spans="1:4" x14ac:dyDescent="0.3">
      <c r="A165" s="58" t="s">
        <v>131</v>
      </c>
      <c r="B165" s="86">
        <v>0.59479381399999998</v>
      </c>
      <c r="C165" s="7" t="s">
        <v>114</v>
      </c>
      <c r="D165">
        <v>15</v>
      </c>
    </row>
    <row r="166" spans="1:4" x14ac:dyDescent="0.3">
      <c r="A166" s="58" t="s">
        <v>131</v>
      </c>
      <c r="B166" s="86">
        <v>0.69101458650000003</v>
      </c>
      <c r="C166" s="7" t="s">
        <v>114</v>
      </c>
      <c r="D166">
        <v>15</v>
      </c>
    </row>
    <row r="167" spans="1:4" x14ac:dyDescent="0.3">
      <c r="A167" s="58" t="s">
        <v>66</v>
      </c>
      <c r="B167" s="82">
        <v>0.6</v>
      </c>
      <c r="C167" s="7" t="s">
        <v>113</v>
      </c>
      <c r="D167">
        <v>16</v>
      </c>
    </row>
    <row r="168" spans="1:4" x14ac:dyDescent="0.3">
      <c r="A168" s="58" t="s">
        <v>66</v>
      </c>
      <c r="B168" s="82">
        <v>0.66</v>
      </c>
      <c r="C168" s="7" t="s">
        <v>113</v>
      </c>
      <c r="D168">
        <v>16</v>
      </c>
    </row>
    <row r="169" spans="1:4" x14ac:dyDescent="0.3">
      <c r="A169" s="58" t="s">
        <v>66</v>
      </c>
      <c r="B169" s="86">
        <v>0.47868852459016392</v>
      </c>
      <c r="C169" s="7" t="s">
        <v>114</v>
      </c>
      <c r="D169">
        <v>16</v>
      </c>
    </row>
    <row r="170" spans="1:4" x14ac:dyDescent="0.3">
      <c r="A170" s="58" t="s">
        <v>66</v>
      </c>
      <c r="B170" s="86">
        <v>0.49538461538461537</v>
      </c>
      <c r="C170" s="7" t="s">
        <v>114</v>
      </c>
      <c r="D170">
        <v>16</v>
      </c>
    </row>
    <row r="171" spans="1:4" x14ac:dyDescent="0.3">
      <c r="A171" s="58" t="s">
        <v>66</v>
      </c>
      <c r="B171" s="86">
        <v>0.4955223880597015</v>
      </c>
      <c r="C171" s="7" t="s">
        <v>114</v>
      </c>
      <c r="D171">
        <v>16</v>
      </c>
    </row>
    <row r="172" spans="1:4" x14ac:dyDescent="0.3">
      <c r="A172" s="58" t="s">
        <v>66</v>
      </c>
      <c r="B172" s="86">
        <v>0.53535353535353536</v>
      </c>
      <c r="C172" s="7" t="s">
        <v>114</v>
      </c>
      <c r="D172">
        <v>16</v>
      </c>
    </row>
    <row r="173" spans="1:4" x14ac:dyDescent="0.3">
      <c r="A173" s="58" t="s">
        <v>66</v>
      </c>
      <c r="B173" s="86">
        <v>0.57358490566037734</v>
      </c>
      <c r="C173" s="7" t="s">
        <v>114</v>
      </c>
      <c r="D173">
        <v>16</v>
      </c>
    </row>
    <row r="174" spans="1:4" x14ac:dyDescent="0.3">
      <c r="A174" s="58" t="s">
        <v>66</v>
      </c>
      <c r="B174" s="86">
        <v>0.53076923076923077</v>
      </c>
      <c r="C174" s="7" t="s">
        <v>114</v>
      </c>
      <c r="D174">
        <v>16</v>
      </c>
    </row>
    <row r="175" spans="1:4" x14ac:dyDescent="0.3">
      <c r="A175" s="58" t="s">
        <v>132</v>
      </c>
      <c r="B175" s="82">
        <v>0.66</v>
      </c>
      <c r="C175" s="7" t="s">
        <v>113</v>
      </c>
      <c r="D175">
        <v>17</v>
      </c>
    </row>
    <row r="176" spans="1:4" x14ac:dyDescent="0.3">
      <c r="A176" s="58" t="s">
        <v>132</v>
      </c>
      <c r="B176" s="86">
        <v>0.34926470588235292</v>
      </c>
      <c r="C176" s="7" t="s">
        <v>114</v>
      </c>
      <c r="D176">
        <v>17</v>
      </c>
    </row>
    <row r="177" spans="1:4" x14ac:dyDescent="0.3">
      <c r="A177" s="58" t="s">
        <v>132</v>
      </c>
      <c r="B177" s="86">
        <v>0.33214285714285713</v>
      </c>
      <c r="C177" s="7" t="s">
        <v>114</v>
      </c>
      <c r="D177">
        <v>17</v>
      </c>
    </row>
    <row r="178" spans="1:4" x14ac:dyDescent="0.3">
      <c r="A178" s="58" t="s">
        <v>132</v>
      </c>
      <c r="B178" s="86">
        <v>0.34365325077399383</v>
      </c>
      <c r="C178" s="7" t="s">
        <v>114</v>
      </c>
      <c r="D178">
        <v>17</v>
      </c>
    </row>
    <row r="179" spans="1:4" x14ac:dyDescent="0.3">
      <c r="A179" s="58" t="s">
        <v>132</v>
      </c>
      <c r="B179" s="86">
        <v>0.34666666666666668</v>
      </c>
      <c r="C179" s="7" t="s">
        <v>114</v>
      </c>
      <c r="D179">
        <v>17</v>
      </c>
    </row>
    <row r="180" spans="1:4" x14ac:dyDescent="0.3">
      <c r="A180" s="58" t="s">
        <v>132</v>
      </c>
      <c r="B180" s="86">
        <v>0.35307517084282458</v>
      </c>
      <c r="C180" s="7" t="s">
        <v>114</v>
      </c>
      <c r="D180">
        <v>17</v>
      </c>
    </row>
    <row r="181" spans="1:4" x14ac:dyDescent="0.3">
      <c r="A181" s="58" t="s">
        <v>132</v>
      </c>
      <c r="B181" s="86">
        <v>0.34420289855072461</v>
      </c>
      <c r="C181" s="7" t="s">
        <v>114</v>
      </c>
      <c r="D181">
        <v>17</v>
      </c>
    </row>
    <row r="182" spans="1:4" x14ac:dyDescent="0.3">
      <c r="A182" s="58" t="s">
        <v>133</v>
      </c>
      <c r="B182" s="82">
        <v>0.8</v>
      </c>
      <c r="C182" s="7" t="s">
        <v>113</v>
      </c>
      <c r="D182">
        <v>18</v>
      </c>
    </row>
    <row r="183" spans="1:4" x14ac:dyDescent="0.3">
      <c r="A183" s="58" t="s">
        <v>133</v>
      </c>
      <c r="B183" s="86">
        <v>0.77419354838709675</v>
      </c>
      <c r="C183" s="7" t="s">
        <v>114</v>
      </c>
      <c r="D183">
        <v>18</v>
      </c>
    </row>
    <row r="184" spans="1:4" x14ac:dyDescent="0.3">
      <c r="A184" s="58" t="s">
        <v>133</v>
      </c>
      <c r="B184" s="86">
        <v>0.70508474576271185</v>
      </c>
      <c r="C184" s="7" t="s">
        <v>114</v>
      </c>
      <c r="D184">
        <v>18</v>
      </c>
    </row>
    <row r="185" spans="1:4" x14ac:dyDescent="0.3">
      <c r="A185" s="58" t="s">
        <v>133</v>
      </c>
      <c r="B185" s="86">
        <v>0.79661016949152541</v>
      </c>
      <c r="C185" s="7" t="s">
        <v>114</v>
      </c>
      <c r="D185">
        <v>18</v>
      </c>
    </row>
    <row r="186" spans="1:4" x14ac:dyDescent="0.3">
      <c r="A186" s="58" t="s">
        <v>133</v>
      </c>
      <c r="B186" s="86">
        <v>0.75510204081632648</v>
      </c>
      <c r="C186" s="7" t="s">
        <v>114</v>
      </c>
      <c r="D186">
        <v>18</v>
      </c>
    </row>
    <row r="187" spans="1:4" x14ac:dyDescent="0.3">
      <c r="A187" s="58" t="s">
        <v>133</v>
      </c>
      <c r="B187" s="86">
        <v>0.75838926174496646</v>
      </c>
      <c r="C187" s="7" t="s">
        <v>114</v>
      </c>
      <c r="D187">
        <v>18</v>
      </c>
    </row>
    <row r="188" spans="1:4" x14ac:dyDescent="0.3">
      <c r="A188" s="58" t="s">
        <v>134</v>
      </c>
      <c r="B188" s="82">
        <v>0.95499999999999996</v>
      </c>
      <c r="C188" s="7" t="s">
        <v>113</v>
      </c>
      <c r="D188">
        <v>19</v>
      </c>
    </row>
    <row r="189" spans="1:4" x14ac:dyDescent="0.3">
      <c r="A189" s="58" t="s">
        <v>134</v>
      </c>
      <c r="B189" s="86">
        <v>0.59210526315789469</v>
      </c>
      <c r="C189" s="7" t="s">
        <v>114</v>
      </c>
      <c r="D189">
        <v>19</v>
      </c>
    </row>
    <row r="190" spans="1:4" x14ac:dyDescent="0.3">
      <c r="A190" s="58" t="s">
        <v>134</v>
      </c>
      <c r="B190" s="86">
        <v>0.59826589595375723</v>
      </c>
      <c r="C190" s="7" t="s">
        <v>114</v>
      </c>
      <c r="D190">
        <v>19</v>
      </c>
    </row>
    <row r="191" spans="1:4" x14ac:dyDescent="0.3">
      <c r="A191" s="58" t="s">
        <v>134</v>
      </c>
      <c r="B191" s="86">
        <v>0.57894736842105265</v>
      </c>
      <c r="C191" s="7" t="s">
        <v>114</v>
      </c>
      <c r="D191">
        <v>19</v>
      </c>
    </row>
    <row r="192" spans="1:4" x14ac:dyDescent="0.3">
      <c r="A192" s="58" t="s">
        <v>134</v>
      </c>
      <c r="B192" s="86">
        <v>0.56907894736842102</v>
      </c>
      <c r="C192" s="7" t="s">
        <v>114</v>
      </c>
      <c r="D192">
        <v>19</v>
      </c>
    </row>
    <row r="193" spans="1:4" x14ac:dyDescent="0.3">
      <c r="A193" s="58" t="s">
        <v>134</v>
      </c>
      <c r="B193" s="86">
        <v>0.6045454545454545</v>
      </c>
      <c r="C193" s="7" t="s">
        <v>114</v>
      </c>
      <c r="D193">
        <v>19</v>
      </c>
    </row>
    <row r="194" spans="1:4" x14ac:dyDescent="0.3">
      <c r="A194" s="58" t="s">
        <v>135</v>
      </c>
      <c r="B194" s="82">
        <v>0.78</v>
      </c>
      <c r="C194" s="7" t="s">
        <v>113</v>
      </c>
      <c r="D194">
        <v>20</v>
      </c>
    </row>
    <row r="195" spans="1:4" x14ac:dyDescent="0.3">
      <c r="A195" s="58" t="s">
        <v>135</v>
      </c>
      <c r="B195" s="82">
        <v>0.95</v>
      </c>
      <c r="C195" s="7" t="s">
        <v>113</v>
      </c>
      <c r="D195">
        <v>20</v>
      </c>
    </row>
    <row r="196" spans="1:4" x14ac:dyDescent="0.3">
      <c r="A196" s="58" t="s">
        <v>135</v>
      </c>
      <c r="B196" s="82">
        <v>0.78</v>
      </c>
      <c r="C196" s="7" t="s">
        <v>113</v>
      </c>
      <c r="D196">
        <v>20</v>
      </c>
    </row>
    <row r="197" spans="1:4" x14ac:dyDescent="0.3">
      <c r="A197" s="58" t="s">
        <v>135</v>
      </c>
      <c r="B197" s="82">
        <v>0.86</v>
      </c>
      <c r="C197" s="7" t="s">
        <v>113</v>
      </c>
      <c r="D197">
        <v>20</v>
      </c>
    </row>
    <row r="198" spans="1:4" x14ac:dyDescent="0.3">
      <c r="A198" s="58" t="s">
        <v>135</v>
      </c>
      <c r="B198" s="82">
        <v>0.8256</v>
      </c>
      <c r="C198" s="7" t="s">
        <v>113</v>
      </c>
      <c r="D198">
        <v>20</v>
      </c>
    </row>
    <row r="199" spans="1:4" x14ac:dyDescent="0.3">
      <c r="A199" s="58" t="s">
        <v>135</v>
      </c>
      <c r="B199" s="82">
        <v>0.78</v>
      </c>
      <c r="C199" s="7" t="s">
        <v>113</v>
      </c>
      <c r="D199">
        <v>20</v>
      </c>
    </row>
    <row r="200" spans="1:4" x14ac:dyDescent="0.3">
      <c r="A200" s="58" t="s">
        <v>135</v>
      </c>
      <c r="B200" s="82">
        <v>0.75</v>
      </c>
      <c r="C200" s="7" t="s">
        <v>113</v>
      </c>
      <c r="D200">
        <v>20</v>
      </c>
    </row>
    <row r="201" spans="1:4" x14ac:dyDescent="0.3">
      <c r="A201" s="58" t="s">
        <v>135</v>
      </c>
      <c r="B201" s="86">
        <v>0.72023809523809523</v>
      </c>
      <c r="C201" s="7" t="s">
        <v>114</v>
      </c>
      <c r="D201">
        <v>20</v>
      </c>
    </row>
    <row r="202" spans="1:4" x14ac:dyDescent="0.3">
      <c r="A202" s="58" t="s">
        <v>135</v>
      </c>
      <c r="B202" s="86">
        <v>0.73195876288659789</v>
      </c>
      <c r="C202" s="7" t="s">
        <v>114</v>
      </c>
      <c r="D202">
        <v>20</v>
      </c>
    </row>
    <row r="203" spans="1:4" x14ac:dyDescent="0.3">
      <c r="A203" s="58" t="s">
        <v>135</v>
      </c>
      <c r="B203" s="86">
        <v>0.6785714285714286</v>
      </c>
      <c r="C203" s="7" t="s">
        <v>114</v>
      </c>
      <c r="D203">
        <v>20</v>
      </c>
    </row>
    <row r="204" spans="1:4" x14ac:dyDescent="0.3">
      <c r="A204" s="58" t="s">
        <v>135</v>
      </c>
      <c r="B204" s="86">
        <v>0.70670391061452509</v>
      </c>
      <c r="C204" s="7" t="s">
        <v>114</v>
      </c>
      <c r="D204">
        <v>20</v>
      </c>
    </row>
    <row r="205" spans="1:4" x14ac:dyDescent="0.3">
      <c r="A205" s="58" t="s">
        <v>135</v>
      </c>
      <c r="B205" s="86">
        <v>0.68503937007874016</v>
      </c>
      <c r="C205" s="7" t="s">
        <v>114</v>
      </c>
      <c r="D205">
        <v>20</v>
      </c>
    </row>
    <row r="206" spans="1:4" x14ac:dyDescent="0.3">
      <c r="A206" s="58" t="s">
        <v>135</v>
      </c>
      <c r="B206" s="86">
        <v>0.69020501138952162</v>
      </c>
      <c r="C206" s="7" t="s">
        <v>114</v>
      </c>
      <c r="D206">
        <v>20</v>
      </c>
    </row>
    <row r="207" spans="1:4" x14ac:dyDescent="0.3">
      <c r="A207" s="58" t="s">
        <v>136</v>
      </c>
      <c r="B207" s="82">
        <v>1.07</v>
      </c>
      <c r="C207" s="7" t="s">
        <v>113</v>
      </c>
      <c r="D207">
        <v>21</v>
      </c>
    </row>
    <row r="208" spans="1:4" x14ac:dyDescent="0.3">
      <c r="A208" s="58" t="s">
        <v>136</v>
      </c>
      <c r="B208" s="82">
        <v>0.54</v>
      </c>
      <c r="C208" s="7" t="s">
        <v>113</v>
      </c>
      <c r="D208">
        <v>21</v>
      </c>
    </row>
    <row r="209" spans="1:4" x14ac:dyDescent="0.3">
      <c r="A209" s="58" t="s">
        <v>136</v>
      </c>
      <c r="B209" s="82">
        <v>0.69</v>
      </c>
      <c r="C209" s="7" t="s">
        <v>113</v>
      </c>
      <c r="D209">
        <v>21</v>
      </c>
    </row>
    <row r="210" spans="1:4" x14ac:dyDescent="0.3">
      <c r="A210" s="58" t="s">
        <v>136</v>
      </c>
      <c r="B210" s="86">
        <v>0.67080745341614911</v>
      </c>
      <c r="C210" s="7" t="s">
        <v>114</v>
      </c>
      <c r="D210">
        <v>21</v>
      </c>
    </row>
    <row r="211" spans="1:4" x14ac:dyDescent="0.3">
      <c r="A211" s="58" t="s">
        <v>136</v>
      </c>
      <c r="B211" s="86">
        <v>0.73529411764705888</v>
      </c>
      <c r="C211" s="7" t="s">
        <v>114</v>
      </c>
      <c r="D211">
        <v>21</v>
      </c>
    </row>
    <row r="212" spans="1:4" x14ac:dyDescent="0.3">
      <c r="A212" s="58" t="s">
        <v>136</v>
      </c>
      <c r="B212" s="86">
        <v>0.77319587628865982</v>
      </c>
      <c r="C212" s="7" t="s">
        <v>114</v>
      </c>
      <c r="D212">
        <v>21</v>
      </c>
    </row>
    <row r="213" spans="1:4" x14ac:dyDescent="0.3">
      <c r="A213" s="58" t="s">
        <v>137</v>
      </c>
      <c r="B213" s="82">
        <v>0.53</v>
      </c>
      <c r="C213" s="7" t="s">
        <v>113</v>
      </c>
      <c r="D213">
        <v>22</v>
      </c>
    </row>
    <row r="214" spans="1:4" x14ac:dyDescent="0.3">
      <c r="A214" s="58" t="s">
        <v>137</v>
      </c>
      <c r="B214" s="82">
        <v>0.65</v>
      </c>
      <c r="C214" s="7" t="s">
        <v>113</v>
      </c>
      <c r="D214">
        <v>22</v>
      </c>
    </row>
    <row r="215" spans="1:4" x14ac:dyDescent="0.3">
      <c r="A215" s="58" t="s">
        <v>137</v>
      </c>
      <c r="B215" s="82">
        <v>0.74</v>
      </c>
      <c r="C215" s="7" t="s">
        <v>113</v>
      </c>
      <c r="D215">
        <v>22</v>
      </c>
    </row>
    <row r="216" spans="1:4" x14ac:dyDescent="0.3">
      <c r="A216" s="58" t="s">
        <v>137</v>
      </c>
      <c r="B216" s="82">
        <v>0.69</v>
      </c>
      <c r="C216" s="7" t="s">
        <v>113</v>
      </c>
      <c r="D216">
        <v>22</v>
      </c>
    </row>
    <row r="217" spans="1:4" x14ac:dyDescent="0.3">
      <c r="A217" s="58" t="s">
        <v>137</v>
      </c>
      <c r="B217" s="82">
        <v>0.76539999999999997</v>
      </c>
      <c r="C217" s="7" t="s">
        <v>113</v>
      </c>
      <c r="D217">
        <v>22</v>
      </c>
    </row>
    <row r="218" spans="1:4" x14ac:dyDescent="0.3">
      <c r="A218" s="58" t="s">
        <v>137</v>
      </c>
      <c r="B218" s="82">
        <v>0.77400000000000002</v>
      </c>
      <c r="C218" s="7" t="s">
        <v>113</v>
      </c>
      <c r="D218">
        <v>22</v>
      </c>
    </row>
    <row r="219" spans="1:4" x14ac:dyDescent="0.3">
      <c r="A219" s="58" t="s">
        <v>137</v>
      </c>
      <c r="B219" s="82">
        <v>0.75</v>
      </c>
      <c r="C219" s="7" t="s">
        <v>113</v>
      </c>
      <c r="D219">
        <v>22</v>
      </c>
    </row>
    <row r="220" spans="1:4" x14ac:dyDescent="0.3">
      <c r="A220" s="58" t="s">
        <v>137</v>
      </c>
      <c r="B220" s="88">
        <v>0.55428571428571427</v>
      </c>
      <c r="C220" s="7" t="s">
        <v>114</v>
      </c>
      <c r="D220">
        <v>22</v>
      </c>
    </row>
    <row r="221" spans="1:4" x14ac:dyDescent="0.3">
      <c r="A221" s="58" t="s">
        <v>137</v>
      </c>
      <c r="B221" s="88">
        <v>0.56082474226804124</v>
      </c>
      <c r="C221" s="7" t="s">
        <v>114</v>
      </c>
      <c r="D221">
        <v>22</v>
      </c>
    </row>
    <row r="222" spans="1:4" x14ac:dyDescent="0.3">
      <c r="A222" s="58" t="s">
        <v>137</v>
      </c>
      <c r="B222" s="86">
        <v>0.55384615384615388</v>
      </c>
      <c r="C222" s="7" t="s">
        <v>114</v>
      </c>
      <c r="D222">
        <v>22</v>
      </c>
    </row>
    <row r="223" spans="1:4" x14ac:dyDescent="0.3">
      <c r="A223" s="58" t="s">
        <v>137</v>
      </c>
      <c r="B223" s="82">
        <v>0.49723756906077349</v>
      </c>
      <c r="C223" s="7" t="s">
        <v>114</v>
      </c>
      <c r="D223">
        <v>22</v>
      </c>
    </row>
    <row r="224" spans="1:4" x14ac:dyDescent="0.3">
      <c r="A224" s="58" t="s">
        <v>137</v>
      </c>
      <c r="B224" s="86">
        <v>0.49627791563275436</v>
      </c>
      <c r="C224" s="7" t="s">
        <v>114</v>
      </c>
      <c r="D224">
        <v>22</v>
      </c>
    </row>
    <row r="225" spans="1:4" x14ac:dyDescent="0.3">
      <c r="A225" s="58" t="s">
        <v>137</v>
      </c>
      <c r="B225" s="88">
        <v>0.50819672131147542</v>
      </c>
      <c r="C225" s="7" t="s">
        <v>114</v>
      </c>
      <c r="D225">
        <v>22</v>
      </c>
    </row>
    <row r="226" spans="1:4" x14ac:dyDescent="0.3">
      <c r="A226" s="58" t="s">
        <v>512</v>
      </c>
      <c r="B226" s="82">
        <v>0.54</v>
      </c>
      <c r="C226" s="7" t="s">
        <v>113</v>
      </c>
      <c r="D226">
        <v>23</v>
      </c>
    </row>
    <row r="227" spans="1:4" x14ac:dyDescent="0.3">
      <c r="A227" s="58" t="s">
        <v>512</v>
      </c>
      <c r="B227" s="82">
        <v>0.57999999999999996</v>
      </c>
      <c r="C227" s="7" t="s">
        <v>113</v>
      </c>
      <c r="D227">
        <v>23</v>
      </c>
    </row>
    <row r="228" spans="1:4" x14ac:dyDescent="0.3">
      <c r="A228" s="58" t="s">
        <v>512</v>
      </c>
      <c r="B228" s="82">
        <v>0.68</v>
      </c>
      <c r="C228" s="7" t="s">
        <v>113</v>
      </c>
      <c r="D228">
        <v>23</v>
      </c>
    </row>
    <row r="229" spans="1:4" x14ac:dyDescent="0.3">
      <c r="A229" s="58" t="s">
        <v>512</v>
      </c>
      <c r="B229" s="82">
        <v>0.75</v>
      </c>
      <c r="C229" s="7" t="s">
        <v>113</v>
      </c>
      <c r="D229">
        <v>23</v>
      </c>
    </row>
    <row r="230" spans="1:4" x14ac:dyDescent="0.3">
      <c r="A230" s="58" t="s">
        <v>512</v>
      </c>
      <c r="B230" s="86">
        <v>0.655456186</v>
      </c>
      <c r="C230" s="7" t="s">
        <v>114</v>
      </c>
      <c r="D230">
        <v>23</v>
      </c>
    </row>
    <row r="231" spans="1:4" x14ac:dyDescent="0.3">
      <c r="A231" s="58" t="s">
        <v>512</v>
      </c>
      <c r="B231" s="86">
        <v>0.74557338574999998</v>
      </c>
      <c r="C231" s="7" t="s">
        <v>114</v>
      </c>
      <c r="D231">
        <v>23</v>
      </c>
    </row>
    <row r="232" spans="1:4" x14ac:dyDescent="0.3">
      <c r="A232" s="58" t="s">
        <v>512</v>
      </c>
      <c r="B232" s="86">
        <v>0.55602062475000003</v>
      </c>
      <c r="C232" s="7" t="s">
        <v>114</v>
      </c>
      <c r="D232">
        <v>23</v>
      </c>
    </row>
    <row r="233" spans="1:4" x14ac:dyDescent="0.3">
      <c r="A233" s="58" t="s">
        <v>512</v>
      </c>
      <c r="B233" s="86">
        <v>0.62179669599999998</v>
      </c>
      <c r="C233" s="7" t="s">
        <v>114</v>
      </c>
      <c r="D233">
        <v>23</v>
      </c>
    </row>
    <row r="234" spans="1:4" x14ac:dyDescent="0.3">
      <c r="A234" s="58" t="s">
        <v>512</v>
      </c>
      <c r="B234" s="86">
        <v>0.63040140150000001</v>
      </c>
      <c r="C234" s="7" t="s">
        <v>114</v>
      </c>
      <c r="D234">
        <v>23</v>
      </c>
    </row>
    <row r="235" spans="1:4" x14ac:dyDescent="0.3">
      <c r="A235" s="58" t="s">
        <v>88</v>
      </c>
      <c r="B235" s="82">
        <v>0.81</v>
      </c>
      <c r="C235" s="7" t="s">
        <v>113</v>
      </c>
      <c r="D235">
        <v>24</v>
      </c>
    </row>
    <row r="236" spans="1:4" x14ac:dyDescent="0.3">
      <c r="A236" s="58" t="s">
        <v>88</v>
      </c>
      <c r="B236" s="82">
        <v>0.99</v>
      </c>
      <c r="C236" s="7" t="s">
        <v>113</v>
      </c>
      <c r="D236">
        <v>24</v>
      </c>
    </row>
    <row r="237" spans="1:4" x14ac:dyDescent="0.3">
      <c r="A237" s="58" t="s">
        <v>88</v>
      </c>
      <c r="B237" s="86">
        <v>0.92542914850000002</v>
      </c>
      <c r="C237" s="7" t="s">
        <v>114</v>
      </c>
      <c r="D237">
        <v>24</v>
      </c>
    </row>
    <row r="238" spans="1:4" x14ac:dyDescent="0.3">
      <c r="A238" s="58" t="s">
        <v>88</v>
      </c>
      <c r="B238" s="86">
        <v>0.90652633824999995</v>
      </c>
      <c r="C238" s="7" t="s">
        <v>114</v>
      </c>
      <c r="D238">
        <v>24</v>
      </c>
    </row>
    <row r="239" spans="1:4" x14ac:dyDescent="0.3">
      <c r="A239" s="58" t="s">
        <v>88</v>
      </c>
      <c r="B239" s="86">
        <v>0.89703169549999995</v>
      </c>
      <c r="C239" s="7" t="s">
        <v>114</v>
      </c>
      <c r="D239">
        <v>24</v>
      </c>
    </row>
    <row r="240" spans="1:4" x14ac:dyDescent="0.3">
      <c r="A240" s="58" t="s">
        <v>88</v>
      </c>
      <c r="B240" s="86">
        <v>0.95122003050000004</v>
      </c>
      <c r="C240" s="7" t="s">
        <v>114</v>
      </c>
      <c r="D240">
        <v>24</v>
      </c>
    </row>
    <row r="241" spans="1:4" x14ac:dyDescent="0.3">
      <c r="A241" s="58" t="s">
        <v>88</v>
      </c>
      <c r="B241" s="86">
        <v>0.97034195349999997</v>
      </c>
      <c r="C241" s="7" t="s">
        <v>114</v>
      </c>
      <c r="D241">
        <v>24</v>
      </c>
    </row>
    <row r="242" spans="1:4" x14ac:dyDescent="0.3">
      <c r="A242" s="58" t="s">
        <v>513</v>
      </c>
      <c r="B242" s="82">
        <v>0.8</v>
      </c>
      <c r="C242" s="7" t="s">
        <v>113</v>
      </c>
      <c r="D242">
        <v>25</v>
      </c>
    </row>
    <row r="243" spans="1:4" x14ac:dyDescent="0.3">
      <c r="A243" s="58" t="s">
        <v>513</v>
      </c>
      <c r="B243" s="82">
        <v>0.62853000000000003</v>
      </c>
      <c r="C243" s="7" t="s">
        <v>113</v>
      </c>
      <c r="D243">
        <v>25</v>
      </c>
    </row>
    <row r="244" spans="1:4" x14ac:dyDescent="0.3">
      <c r="A244" s="58" t="s">
        <v>513</v>
      </c>
      <c r="B244" s="82">
        <v>0.6</v>
      </c>
      <c r="C244" s="7" t="s">
        <v>113</v>
      </c>
      <c r="D244">
        <v>25</v>
      </c>
    </row>
    <row r="245" spans="1:4" x14ac:dyDescent="0.3">
      <c r="A245" s="58" t="s">
        <v>513</v>
      </c>
      <c r="B245" s="82">
        <v>0.578592</v>
      </c>
      <c r="C245" s="7" t="s">
        <v>113</v>
      </c>
      <c r="D245">
        <v>25</v>
      </c>
    </row>
    <row r="246" spans="1:4" x14ac:dyDescent="0.3">
      <c r="A246" s="58" t="s">
        <v>513</v>
      </c>
      <c r="B246" s="86">
        <v>0.50270270270270268</v>
      </c>
      <c r="C246" s="7" t="s">
        <v>114</v>
      </c>
      <c r="D246">
        <v>25</v>
      </c>
    </row>
    <row r="247" spans="1:4" x14ac:dyDescent="0.3">
      <c r="A247" s="58" t="s">
        <v>513</v>
      </c>
      <c r="B247" s="86">
        <v>0.53237410071942448</v>
      </c>
      <c r="C247" s="7" t="s">
        <v>114</v>
      </c>
      <c r="D247">
        <v>25</v>
      </c>
    </row>
    <row r="248" spans="1:4" x14ac:dyDescent="0.3">
      <c r="A248" s="58" t="s">
        <v>513</v>
      </c>
      <c r="B248" s="86">
        <v>0.51583710407239824</v>
      </c>
      <c r="C248" s="7" t="s">
        <v>114</v>
      </c>
      <c r="D248">
        <v>25</v>
      </c>
    </row>
    <row r="249" spans="1:4" x14ac:dyDescent="0.3">
      <c r="A249" s="58" t="s">
        <v>513</v>
      </c>
      <c r="B249" s="86">
        <v>0.52551020408163263</v>
      </c>
      <c r="C249" s="7" t="s">
        <v>114</v>
      </c>
      <c r="D249">
        <v>25</v>
      </c>
    </row>
    <row r="250" spans="1:4" x14ac:dyDescent="0.3">
      <c r="A250" s="58" t="s">
        <v>513</v>
      </c>
      <c r="B250" s="86">
        <v>0.51256281407035176</v>
      </c>
      <c r="C250" s="7" t="s">
        <v>114</v>
      </c>
      <c r="D250">
        <v>25</v>
      </c>
    </row>
    <row r="251" spans="1:4" x14ac:dyDescent="0.3">
      <c r="A251" s="58" t="s">
        <v>513</v>
      </c>
      <c r="B251" s="86">
        <v>0.52606635071090047</v>
      </c>
      <c r="C251" s="7" t="s">
        <v>114</v>
      </c>
      <c r="D251">
        <v>25</v>
      </c>
    </row>
    <row r="252" spans="1:4" x14ac:dyDescent="0.3">
      <c r="A252" s="58" t="s">
        <v>140</v>
      </c>
      <c r="B252" s="82">
        <v>0.56999999999999995</v>
      </c>
      <c r="C252" s="7" t="s">
        <v>113</v>
      </c>
      <c r="D252">
        <v>26</v>
      </c>
    </row>
    <row r="253" spans="1:4" x14ac:dyDescent="0.3">
      <c r="A253" s="58" t="s">
        <v>140</v>
      </c>
      <c r="B253" s="82">
        <v>0.71</v>
      </c>
      <c r="C253" s="7" t="s">
        <v>113</v>
      </c>
      <c r="D253">
        <v>26</v>
      </c>
    </row>
    <row r="254" spans="1:4" x14ac:dyDescent="0.3">
      <c r="A254" s="58" t="s">
        <v>140</v>
      </c>
      <c r="B254" s="82">
        <v>0.66</v>
      </c>
      <c r="C254" s="7" t="s">
        <v>113</v>
      </c>
      <c r="D254">
        <v>26</v>
      </c>
    </row>
    <row r="255" spans="1:4" x14ac:dyDescent="0.3">
      <c r="A255" s="58" t="s">
        <v>140</v>
      </c>
      <c r="B255" s="82">
        <v>0.66</v>
      </c>
      <c r="C255" s="7" t="s">
        <v>113</v>
      </c>
      <c r="D255">
        <v>26</v>
      </c>
    </row>
    <row r="256" spans="1:4" x14ac:dyDescent="0.3">
      <c r="A256" s="58" t="s">
        <v>140</v>
      </c>
      <c r="B256" s="82">
        <v>0.77</v>
      </c>
      <c r="C256" s="7" t="s">
        <v>113</v>
      </c>
      <c r="D256">
        <v>26</v>
      </c>
    </row>
    <row r="257" spans="1:4" x14ac:dyDescent="0.3">
      <c r="A257" s="58" t="s">
        <v>140</v>
      </c>
      <c r="B257" s="82">
        <v>0.63</v>
      </c>
      <c r="C257" s="7" t="s">
        <v>113</v>
      </c>
      <c r="D257">
        <v>26</v>
      </c>
    </row>
    <row r="258" spans="1:4" x14ac:dyDescent="0.3">
      <c r="A258" s="58" t="s">
        <v>140</v>
      </c>
      <c r="B258" s="82">
        <v>0.67079999999999995</v>
      </c>
      <c r="C258" s="7" t="s">
        <v>113</v>
      </c>
      <c r="D258">
        <v>26</v>
      </c>
    </row>
    <row r="259" spans="1:4" x14ac:dyDescent="0.3">
      <c r="A259" s="58" t="s">
        <v>140</v>
      </c>
      <c r="B259" s="82">
        <v>0.68</v>
      </c>
      <c r="C259" s="7" t="s">
        <v>113</v>
      </c>
      <c r="D259">
        <v>26</v>
      </c>
    </row>
    <row r="260" spans="1:4" x14ac:dyDescent="0.3">
      <c r="A260" s="58" t="s">
        <v>140</v>
      </c>
      <c r="B260" s="82">
        <v>0.71</v>
      </c>
      <c r="C260" s="7" t="s">
        <v>113</v>
      </c>
      <c r="D260">
        <v>26</v>
      </c>
    </row>
    <row r="261" spans="1:4" x14ac:dyDescent="0.3">
      <c r="A261" s="58" t="s">
        <v>140</v>
      </c>
      <c r="B261" s="82">
        <v>0.76</v>
      </c>
      <c r="C261" s="7" t="s">
        <v>113</v>
      </c>
      <c r="D261">
        <v>26</v>
      </c>
    </row>
    <row r="262" spans="1:4" x14ac:dyDescent="0.3">
      <c r="A262" s="58" t="s">
        <v>140</v>
      </c>
      <c r="B262" s="86">
        <v>0.75735244099999999</v>
      </c>
      <c r="C262" s="7" t="s">
        <v>114</v>
      </c>
      <c r="D262">
        <v>26</v>
      </c>
    </row>
    <row r="263" spans="1:4" x14ac:dyDescent="0.3">
      <c r="A263" s="58" t="s">
        <v>140</v>
      </c>
      <c r="B263" s="86">
        <v>0.65525423699999996</v>
      </c>
      <c r="C263" s="7" t="s">
        <v>114</v>
      </c>
      <c r="D263">
        <v>26</v>
      </c>
    </row>
    <row r="264" spans="1:4" x14ac:dyDescent="0.3">
      <c r="A264" s="58" t="s">
        <v>140</v>
      </c>
      <c r="B264" s="86">
        <v>0.74020527800000002</v>
      </c>
      <c r="C264" s="7" t="s">
        <v>114</v>
      </c>
      <c r="D264">
        <v>26</v>
      </c>
    </row>
    <row r="265" spans="1:4" x14ac:dyDescent="0.3">
      <c r="A265" s="58" t="s">
        <v>140</v>
      </c>
      <c r="B265" s="86">
        <v>0.70946454000000003</v>
      </c>
      <c r="C265" s="7" t="s">
        <v>114</v>
      </c>
      <c r="D265">
        <v>26</v>
      </c>
    </row>
    <row r="266" spans="1:4" x14ac:dyDescent="0.3">
      <c r="A266" s="58" t="s">
        <v>140</v>
      </c>
      <c r="B266" s="86">
        <v>0.67114569800000001</v>
      </c>
      <c r="C266" s="7" t="s">
        <v>114</v>
      </c>
      <c r="D266">
        <v>26</v>
      </c>
    </row>
    <row r="267" spans="1:4" x14ac:dyDescent="0.3">
      <c r="A267" s="58" t="s">
        <v>140</v>
      </c>
      <c r="B267" s="86">
        <v>0.69286545499999996</v>
      </c>
      <c r="C267" s="7" t="s">
        <v>114</v>
      </c>
      <c r="D267">
        <v>26</v>
      </c>
    </row>
    <row r="268" spans="1:4" x14ac:dyDescent="0.3">
      <c r="A268" s="58" t="s">
        <v>141</v>
      </c>
      <c r="B268" s="82">
        <v>0.49</v>
      </c>
      <c r="C268" s="7" t="s">
        <v>113</v>
      </c>
      <c r="D268">
        <v>27</v>
      </c>
    </row>
    <row r="269" spans="1:4" x14ac:dyDescent="0.3">
      <c r="A269" s="58" t="s">
        <v>141</v>
      </c>
      <c r="B269" s="86">
        <v>0.49367088607594939</v>
      </c>
      <c r="C269" s="7" t="s">
        <v>114</v>
      </c>
      <c r="D269">
        <v>27</v>
      </c>
    </row>
    <row r="270" spans="1:4" x14ac:dyDescent="0.3">
      <c r="A270" s="58" t="s">
        <v>141</v>
      </c>
      <c r="B270" s="86">
        <v>0.51980198019801982</v>
      </c>
      <c r="C270" s="7" t="s">
        <v>114</v>
      </c>
      <c r="D270">
        <v>27</v>
      </c>
    </row>
    <row r="271" spans="1:4" x14ac:dyDescent="0.3">
      <c r="A271" s="58" t="s">
        <v>141</v>
      </c>
      <c r="B271" s="86">
        <v>0.44144144144144143</v>
      </c>
      <c r="C271" s="7" t="s">
        <v>114</v>
      </c>
      <c r="D271">
        <v>27</v>
      </c>
    </row>
    <row r="272" spans="1:4" x14ac:dyDescent="0.3">
      <c r="A272" s="58" t="s">
        <v>141</v>
      </c>
      <c r="B272" s="86">
        <v>0.5</v>
      </c>
      <c r="C272" s="7" t="s">
        <v>114</v>
      </c>
      <c r="D272">
        <v>27</v>
      </c>
    </row>
    <row r="273" spans="1:4" x14ac:dyDescent="0.3">
      <c r="A273" s="58" t="s">
        <v>141</v>
      </c>
      <c r="B273" s="86">
        <v>0.4494949494949495</v>
      </c>
      <c r="C273" s="7" t="s">
        <v>114</v>
      </c>
      <c r="D273">
        <v>27</v>
      </c>
    </row>
    <row r="274" spans="1:4" x14ac:dyDescent="0.3">
      <c r="A274" s="58" t="s">
        <v>141</v>
      </c>
      <c r="B274" s="86">
        <v>0.52631578947368418</v>
      </c>
      <c r="C274" s="7" t="s">
        <v>114</v>
      </c>
      <c r="D274">
        <v>27</v>
      </c>
    </row>
    <row r="275" spans="1:4" x14ac:dyDescent="0.3">
      <c r="A275" s="58" t="s">
        <v>514</v>
      </c>
      <c r="B275" s="82">
        <v>0.27</v>
      </c>
      <c r="C275" s="7" t="s">
        <v>113</v>
      </c>
      <c r="D275">
        <v>28</v>
      </c>
    </row>
    <row r="276" spans="1:4" x14ac:dyDescent="0.3">
      <c r="A276" s="58" t="s">
        <v>514</v>
      </c>
      <c r="B276" s="82">
        <v>0.49</v>
      </c>
      <c r="C276" s="7" t="s">
        <v>113</v>
      </c>
      <c r="D276">
        <v>28</v>
      </c>
    </row>
    <row r="277" spans="1:4" x14ac:dyDescent="0.3">
      <c r="A277" s="58" t="s">
        <v>514</v>
      </c>
      <c r="B277" s="82">
        <v>0.3</v>
      </c>
      <c r="C277" s="7" t="s">
        <v>113</v>
      </c>
      <c r="D277">
        <v>28</v>
      </c>
    </row>
    <row r="278" spans="1:4" x14ac:dyDescent="0.3">
      <c r="A278" s="58" t="s">
        <v>514</v>
      </c>
      <c r="B278" s="82">
        <v>0.32</v>
      </c>
      <c r="C278" s="7" t="s">
        <v>113</v>
      </c>
      <c r="D278">
        <v>28</v>
      </c>
    </row>
    <row r="279" spans="1:4" x14ac:dyDescent="0.3">
      <c r="A279" s="58" t="s">
        <v>514</v>
      </c>
      <c r="B279" s="82">
        <v>0.35</v>
      </c>
      <c r="C279" s="7" t="s">
        <v>113</v>
      </c>
      <c r="D279">
        <v>28</v>
      </c>
    </row>
    <row r="280" spans="1:4" x14ac:dyDescent="0.3">
      <c r="A280" s="58" t="s">
        <v>514</v>
      </c>
      <c r="B280" s="82">
        <v>0.4</v>
      </c>
      <c r="C280" s="7" t="s">
        <v>113</v>
      </c>
      <c r="D280">
        <v>28</v>
      </c>
    </row>
    <row r="281" spans="1:4" x14ac:dyDescent="0.3">
      <c r="A281" s="58" t="s">
        <v>514</v>
      </c>
      <c r="B281" s="82">
        <v>0.30199999999999999</v>
      </c>
      <c r="C281" s="7" t="s">
        <v>113</v>
      </c>
      <c r="D281">
        <v>28</v>
      </c>
    </row>
    <row r="282" spans="1:4" x14ac:dyDescent="0.3">
      <c r="A282" s="58" t="s">
        <v>514</v>
      </c>
      <c r="B282" s="82">
        <v>0.37</v>
      </c>
      <c r="C282" s="7" t="s">
        <v>113</v>
      </c>
      <c r="D282">
        <v>28</v>
      </c>
    </row>
    <row r="283" spans="1:4" x14ac:dyDescent="0.3">
      <c r="A283" s="58" t="s">
        <v>514</v>
      </c>
      <c r="B283" s="82">
        <v>0.24</v>
      </c>
      <c r="C283" s="7" t="s">
        <v>113</v>
      </c>
      <c r="D283">
        <v>28</v>
      </c>
    </row>
    <row r="284" spans="1:4" x14ac:dyDescent="0.3">
      <c r="A284" s="58" t="s">
        <v>514</v>
      </c>
      <c r="B284" s="86">
        <v>0.34851888800000003</v>
      </c>
      <c r="C284" s="7" t="s">
        <v>114</v>
      </c>
      <c r="D284">
        <v>28</v>
      </c>
    </row>
    <row r="285" spans="1:4" x14ac:dyDescent="0.3">
      <c r="A285" s="58" t="s">
        <v>514</v>
      </c>
      <c r="B285" s="86">
        <v>0.39513025550000003</v>
      </c>
      <c r="C285" s="7" t="s">
        <v>114</v>
      </c>
      <c r="D285">
        <v>28</v>
      </c>
    </row>
    <row r="286" spans="1:4" x14ac:dyDescent="0.3">
      <c r="A286" s="58" t="s">
        <v>514</v>
      </c>
      <c r="B286" s="86">
        <v>0.36545761399999999</v>
      </c>
      <c r="C286" s="7" t="s">
        <v>114</v>
      </c>
      <c r="D286">
        <v>28</v>
      </c>
    </row>
    <row r="287" spans="1:4" x14ac:dyDescent="0.3">
      <c r="A287" s="58" t="s">
        <v>514</v>
      </c>
      <c r="B287" s="86">
        <v>0.44823586999999998</v>
      </c>
      <c r="C287" s="7" t="s">
        <v>114</v>
      </c>
      <c r="D287">
        <v>28</v>
      </c>
    </row>
    <row r="288" spans="1:4" x14ac:dyDescent="0.3">
      <c r="A288" s="58" t="s">
        <v>514</v>
      </c>
      <c r="B288" s="86">
        <v>0.3787728655</v>
      </c>
      <c r="C288" s="7" t="s">
        <v>114</v>
      </c>
      <c r="D288">
        <v>28</v>
      </c>
    </row>
    <row r="289" spans="1:4" x14ac:dyDescent="0.3">
      <c r="A289" s="58" t="s">
        <v>515</v>
      </c>
      <c r="B289" s="82">
        <v>0.6</v>
      </c>
      <c r="C289" s="7" t="s">
        <v>113</v>
      </c>
      <c r="D289">
        <v>29</v>
      </c>
    </row>
    <row r="290" spans="1:4" x14ac:dyDescent="0.3">
      <c r="A290" s="58" t="s">
        <v>515</v>
      </c>
      <c r="B290" s="82">
        <v>0.65</v>
      </c>
      <c r="C290" s="7" t="s">
        <v>113</v>
      </c>
      <c r="D290">
        <v>29</v>
      </c>
    </row>
    <row r="291" spans="1:4" x14ac:dyDescent="0.3">
      <c r="A291" s="58" t="s">
        <v>515</v>
      </c>
      <c r="B291" s="82">
        <v>0.79</v>
      </c>
      <c r="C291" s="7" t="s">
        <v>113</v>
      </c>
      <c r="D291">
        <v>29</v>
      </c>
    </row>
    <row r="292" spans="1:4" x14ac:dyDescent="0.3">
      <c r="A292" s="58" t="s">
        <v>515</v>
      </c>
      <c r="B292" s="82">
        <v>0.63714000000000004</v>
      </c>
      <c r="C292" s="7" t="s">
        <v>113</v>
      </c>
      <c r="D292">
        <v>29</v>
      </c>
    </row>
    <row r="293" spans="1:4" x14ac:dyDescent="0.3">
      <c r="A293" s="58" t="s">
        <v>515</v>
      </c>
      <c r="B293" s="82">
        <v>0.6</v>
      </c>
      <c r="C293" s="7" t="s">
        <v>113</v>
      </c>
      <c r="D293">
        <v>29</v>
      </c>
    </row>
    <row r="294" spans="1:4" x14ac:dyDescent="0.3">
      <c r="A294" s="58" t="s">
        <v>515</v>
      </c>
      <c r="B294" s="82">
        <v>0.49</v>
      </c>
      <c r="C294" s="7" t="s">
        <v>113</v>
      </c>
      <c r="D294">
        <v>29</v>
      </c>
    </row>
    <row r="295" spans="1:4" x14ac:dyDescent="0.3">
      <c r="A295" s="58" t="s">
        <v>515</v>
      </c>
      <c r="B295" s="86">
        <v>0.6863636363636364</v>
      </c>
      <c r="C295" s="7" t="s">
        <v>114</v>
      </c>
      <c r="D295">
        <v>29</v>
      </c>
    </row>
    <row r="296" spans="1:4" x14ac:dyDescent="0.3">
      <c r="A296" s="58" t="s">
        <v>515</v>
      </c>
      <c r="B296" s="86">
        <v>0.62278481012658227</v>
      </c>
      <c r="C296" s="7" t="s">
        <v>114</v>
      </c>
      <c r="D296">
        <v>29</v>
      </c>
    </row>
    <row r="297" spans="1:4" x14ac:dyDescent="0.3">
      <c r="A297" s="58" t="s">
        <v>515</v>
      </c>
      <c r="B297" s="86">
        <v>0.72512647554806076</v>
      </c>
      <c r="C297" s="7" t="s">
        <v>114</v>
      </c>
      <c r="D297">
        <v>29</v>
      </c>
    </row>
    <row r="298" spans="1:4" x14ac:dyDescent="0.3">
      <c r="A298" s="58" t="s">
        <v>515</v>
      </c>
      <c r="B298" s="86">
        <v>0.67123287671232879</v>
      </c>
      <c r="C298" s="7" t="s">
        <v>114</v>
      </c>
      <c r="D298">
        <v>29</v>
      </c>
    </row>
    <row r="299" spans="1:4" x14ac:dyDescent="0.3">
      <c r="A299" s="58" t="s">
        <v>515</v>
      </c>
      <c r="B299" s="86">
        <v>0.69767441860465118</v>
      </c>
      <c r="C299" s="7" t="s">
        <v>114</v>
      </c>
      <c r="D299">
        <v>29</v>
      </c>
    </row>
    <row r="300" spans="1:4" x14ac:dyDescent="0.3">
      <c r="A300" s="58" t="s">
        <v>144</v>
      </c>
      <c r="B300" s="82">
        <v>0.16500000000000001</v>
      </c>
      <c r="C300" s="7" t="s">
        <v>113</v>
      </c>
      <c r="D300">
        <v>30</v>
      </c>
    </row>
    <row r="301" spans="1:4" x14ac:dyDescent="0.3">
      <c r="A301" s="58" t="s">
        <v>144</v>
      </c>
      <c r="B301" s="86">
        <v>0.21111111111111111</v>
      </c>
      <c r="C301" s="7" t="s">
        <v>114</v>
      </c>
      <c r="D301">
        <v>30</v>
      </c>
    </row>
    <row r="302" spans="1:4" x14ac:dyDescent="0.3">
      <c r="A302" s="58" t="s">
        <v>144</v>
      </c>
      <c r="B302" s="86">
        <v>0.26605504587155965</v>
      </c>
      <c r="C302" s="7" t="s">
        <v>114</v>
      </c>
      <c r="D302">
        <v>30</v>
      </c>
    </row>
    <row r="303" spans="1:4" x14ac:dyDescent="0.3">
      <c r="A303" s="58" t="s">
        <v>144</v>
      </c>
      <c r="B303" s="86">
        <v>0.19277108433734941</v>
      </c>
      <c r="C303" s="7" t="s">
        <v>114</v>
      </c>
      <c r="D303">
        <v>30</v>
      </c>
    </row>
    <row r="304" spans="1:4" x14ac:dyDescent="0.3">
      <c r="A304" s="58" t="s">
        <v>144</v>
      </c>
      <c r="B304" s="86">
        <v>0.22222222222222221</v>
      </c>
      <c r="C304" s="7" t="s">
        <v>114</v>
      </c>
      <c r="D304">
        <v>30</v>
      </c>
    </row>
    <row r="305" spans="1:4" x14ac:dyDescent="0.3">
      <c r="A305" s="58" t="s">
        <v>144</v>
      </c>
      <c r="B305" s="86">
        <v>0.27160493827160492</v>
      </c>
      <c r="C305" s="7" t="s">
        <v>114</v>
      </c>
      <c r="D305">
        <v>30</v>
      </c>
    </row>
    <row r="306" spans="1:4" x14ac:dyDescent="0.3">
      <c r="A306" s="58" t="s">
        <v>144</v>
      </c>
      <c r="B306" s="86">
        <v>0.21551724137931033</v>
      </c>
      <c r="C306" s="7" t="s">
        <v>114</v>
      </c>
      <c r="D306">
        <v>30</v>
      </c>
    </row>
    <row r="307" spans="1:4" x14ac:dyDescent="0.3">
      <c r="A307" s="58" t="s">
        <v>516</v>
      </c>
      <c r="B307" s="82">
        <v>0.61</v>
      </c>
      <c r="C307" s="7" t="s">
        <v>113</v>
      </c>
      <c r="D307">
        <v>31</v>
      </c>
    </row>
    <row r="308" spans="1:4" x14ac:dyDescent="0.3">
      <c r="A308" s="58" t="s">
        <v>516</v>
      </c>
      <c r="B308" s="82">
        <v>0.66</v>
      </c>
      <c r="C308" s="7" t="s">
        <v>113</v>
      </c>
      <c r="D308">
        <v>31</v>
      </c>
    </row>
    <row r="309" spans="1:4" x14ac:dyDescent="0.3">
      <c r="A309" s="58" t="s">
        <v>516</v>
      </c>
      <c r="B309" s="82">
        <v>0.77</v>
      </c>
      <c r="C309" s="7" t="s">
        <v>113</v>
      </c>
      <c r="D309">
        <v>31</v>
      </c>
    </row>
    <row r="310" spans="1:4" x14ac:dyDescent="0.3">
      <c r="A310" s="58" t="s">
        <v>516</v>
      </c>
      <c r="B310" s="86">
        <v>0.58227848101265822</v>
      </c>
      <c r="C310" s="7" t="s">
        <v>114</v>
      </c>
      <c r="D310">
        <v>31</v>
      </c>
    </row>
    <row r="311" spans="1:4" x14ac:dyDescent="0.3">
      <c r="A311" s="58" t="s">
        <v>516</v>
      </c>
      <c r="B311" s="86">
        <v>0.53846153846153844</v>
      </c>
      <c r="C311" s="7" t="s">
        <v>114</v>
      </c>
      <c r="D311">
        <v>31</v>
      </c>
    </row>
    <row r="312" spans="1:4" x14ac:dyDescent="0.3">
      <c r="A312" s="58" t="s">
        <v>516</v>
      </c>
      <c r="B312" s="87">
        <v>0.49342105263157893</v>
      </c>
      <c r="C312" s="7" t="s">
        <v>114</v>
      </c>
      <c r="D312">
        <v>31</v>
      </c>
    </row>
    <row r="313" spans="1:4" x14ac:dyDescent="0.3">
      <c r="A313" s="58" t="s">
        <v>516</v>
      </c>
      <c r="B313" s="86">
        <v>0.54658385093167705</v>
      </c>
      <c r="C313" s="7" t="s">
        <v>114</v>
      </c>
      <c r="D313">
        <v>31</v>
      </c>
    </row>
    <row r="314" spans="1:4" x14ac:dyDescent="0.3">
      <c r="A314" s="58" t="s">
        <v>516</v>
      </c>
      <c r="B314" s="86">
        <v>0.61250000000000004</v>
      </c>
      <c r="C314" s="7" t="s">
        <v>114</v>
      </c>
      <c r="D314">
        <v>31</v>
      </c>
    </row>
    <row r="315" spans="1:4" x14ac:dyDescent="0.3">
      <c r="A315" s="58" t="s">
        <v>516</v>
      </c>
      <c r="B315" s="86">
        <v>0.56896551724137934</v>
      </c>
      <c r="C315" s="7" t="s">
        <v>114</v>
      </c>
      <c r="D315">
        <v>31</v>
      </c>
    </row>
  </sheetData>
  <autoFilter ref="A1:D315" xr:uid="{C8912069-A661-446B-A7A7-31F354CD33F0}">
    <sortState xmlns:xlrd2="http://schemas.microsoft.com/office/spreadsheetml/2017/richdata2" ref="A2:D315">
      <sortCondition ref="A1:A315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8C83-6875-4D14-9F7F-A2F7F6E06CB7}">
  <dimension ref="A1:D15"/>
  <sheetViews>
    <sheetView workbookViewId="0">
      <selection sqref="A1:D1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80</v>
      </c>
      <c r="B2" s="82">
        <v>0.62</v>
      </c>
      <c r="C2" s="7" t="s">
        <v>113</v>
      </c>
      <c r="D2">
        <v>2</v>
      </c>
    </row>
    <row r="3" spans="1:4" x14ac:dyDescent="0.3">
      <c r="A3" s="58" t="s">
        <v>80</v>
      </c>
      <c r="B3" s="82">
        <v>0.86</v>
      </c>
      <c r="C3" s="7" t="s">
        <v>113</v>
      </c>
      <c r="D3">
        <v>2</v>
      </c>
    </row>
    <row r="4" spans="1:4" x14ac:dyDescent="0.3">
      <c r="A4" s="58" t="s">
        <v>80</v>
      </c>
      <c r="B4" s="82">
        <v>0.86</v>
      </c>
      <c r="C4" s="7" t="s">
        <v>113</v>
      </c>
      <c r="D4">
        <v>2</v>
      </c>
    </row>
    <row r="5" spans="1:4" x14ac:dyDescent="0.3">
      <c r="A5" s="58" t="s">
        <v>80</v>
      </c>
      <c r="B5" s="82">
        <v>0.99</v>
      </c>
      <c r="C5" s="7" t="s">
        <v>113</v>
      </c>
      <c r="D5">
        <v>2</v>
      </c>
    </row>
    <row r="6" spans="1:4" x14ac:dyDescent="0.3">
      <c r="A6" s="58" t="s">
        <v>80</v>
      </c>
      <c r="B6" s="82">
        <v>0.84279999999999999</v>
      </c>
      <c r="C6" s="7" t="s">
        <v>113</v>
      </c>
      <c r="D6">
        <v>2</v>
      </c>
    </row>
    <row r="7" spans="1:4" x14ac:dyDescent="0.3">
      <c r="A7" s="58" t="s">
        <v>80</v>
      </c>
      <c r="B7" s="82">
        <v>0.88</v>
      </c>
      <c r="C7" s="7" t="s">
        <v>113</v>
      </c>
      <c r="D7">
        <v>2</v>
      </c>
    </row>
    <row r="8" spans="1:4" x14ac:dyDescent="0.3">
      <c r="A8" s="58" t="s">
        <v>80</v>
      </c>
      <c r="B8" s="82">
        <v>0.78</v>
      </c>
      <c r="C8" s="7" t="s">
        <v>113</v>
      </c>
      <c r="D8">
        <v>2</v>
      </c>
    </row>
    <row r="9" spans="1:4" x14ac:dyDescent="0.3">
      <c r="A9" s="58" t="s">
        <v>80</v>
      </c>
      <c r="B9" s="82">
        <v>0.85</v>
      </c>
      <c r="C9" s="7" t="s">
        <v>113</v>
      </c>
      <c r="D9">
        <v>2</v>
      </c>
    </row>
    <row r="10" spans="1:4" x14ac:dyDescent="0.3">
      <c r="A10" s="58" t="s">
        <v>80</v>
      </c>
      <c r="B10" s="86">
        <v>0.70464479867099994</v>
      </c>
      <c r="C10" s="7" t="s">
        <v>114</v>
      </c>
      <c r="D10">
        <v>2</v>
      </c>
    </row>
    <row r="11" spans="1:4" x14ac:dyDescent="0.3">
      <c r="A11" s="58" t="s">
        <v>80</v>
      </c>
      <c r="B11" s="86">
        <v>0.69239288301599988</v>
      </c>
      <c r="C11" s="7" t="s">
        <v>114</v>
      </c>
      <c r="D11">
        <v>2</v>
      </c>
    </row>
    <row r="12" spans="1:4" x14ac:dyDescent="0.3">
      <c r="A12" s="58" t="s">
        <v>80</v>
      </c>
      <c r="B12" s="86">
        <v>0.69081379869600001</v>
      </c>
      <c r="C12" s="7" t="s">
        <v>114</v>
      </c>
      <c r="D12">
        <v>2</v>
      </c>
    </row>
    <row r="13" spans="1:4" x14ac:dyDescent="0.3">
      <c r="A13" s="58" t="s">
        <v>80</v>
      </c>
      <c r="B13" s="86">
        <v>0.77910847955999996</v>
      </c>
      <c r="C13" s="7" t="s">
        <v>114</v>
      </c>
      <c r="D13">
        <v>2</v>
      </c>
    </row>
    <row r="14" spans="1:4" x14ac:dyDescent="0.3">
      <c r="A14" s="58" t="s">
        <v>80</v>
      </c>
      <c r="B14" s="86">
        <v>0.601380193482</v>
      </c>
      <c r="C14" s="7" t="s">
        <v>114</v>
      </c>
      <c r="D14">
        <v>2</v>
      </c>
    </row>
    <row r="15" spans="1:4" x14ac:dyDescent="0.3">
      <c r="A15" s="58" t="s">
        <v>80</v>
      </c>
      <c r="B15" s="86">
        <v>0.62259741449999995</v>
      </c>
      <c r="C15" s="7" t="s">
        <v>114</v>
      </c>
      <c r="D15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B86C-1EEF-426D-8D4B-053AD95C96C1}">
  <dimension ref="A1:D13"/>
  <sheetViews>
    <sheetView workbookViewId="0">
      <selection activeCell="A4" sqref="A4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56</v>
      </c>
      <c r="B2" s="82">
        <v>0.44</v>
      </c>
      <c r="C2" s="7" t="s">
        <v>113</v>
      </c>
      <c r="D2">
        <v>4</v>
      </c>
    </row>
    <row r="3" spans="1:4" x14ac:dyDescent="0.3">
      <c r="A3" s="58" t="s">
        <v>56</v>
      </c>
      <c r="B3" s="82">
        <v>0.55000000000000004</v>
      </c>
      <c r="C3" s="7" t="s">
        <v>113</v>
      </c>
      <c r="D3">
        <v>4</v>
      </c>
    </row>
    <row r="4" spans="1:4" x14ac:dyDescent="0.3">
      <c r="A4" s="58" t="s">
        <v>56</v>
      </c>
      <c r="B4" s="82">
        <v>0.55000000000000004</v>
      </c>
      <c r="C4" s="7" t="s">
        <v>113</v>
      </c>
      <c r="D4">
        <v>4</v>
      </c>
    </row>
    <row r="5" spans="1:4" x14ac:dyDescent="0.3">
      <c r="A5" s="58" t="s">
        <v>56</v>
      </c>
      <c r="B5" s="82">
        <v>0.42</v>
      </c>
      <c r="C5" s="7" t="s">
        <v>113</v>
      </c>
      <c r="D5">
        <v>4</v>
      </c>
    </row>
    <row r="6" spans="1:4" x14ac:dyDescent="0.3">
      <c r="A6" s="58" t="s">
        <v>56</v>
      </c>
      <c r="B6" s="82">
        <v>0.47299999999999998</v>
      </c>
      <c r="C6" s="7" t="s">
        <v>113</v>
      </c>
      <c r="D6">
        <v>4</v>
      </c>
    </row>
    <row r="7" spans="1:4" x14ac:dyDescent="0.3">
      <c r="A7" s="58" t="s">
        <v>56</v>
      </c>
      <c r="B7" s="82">
        <v>0.34</v>
      </c>
      <c r="C7" s="7" t="s">
        <v>113</v>
      </c>
      <c r="D7">
        <v>4</v>
      </c>
    </row>
    <row r="8" spans="1:4" x14ac:dyDescent="0.3">
      <c r="A8" s="58" t="s">
        <v>56</v>
      </c>
      <c r="B8" s="86">
        <v>0.31835205992509363</v>
      </c>
      <c r="C8" s="7" t="s">
        <v>114</v>
      </c>
      <c r="D8">
        <v>4</v>
      </c>
    </row>
    <row r="9" spans="1:4" x14ac:dyDescent="0.3">
      <c r="A9" s="58" t="s">
        <v>56</v>
      </c>
      <c r="B9" s="86">
        <v>0.31879194630872482</v>
      </c>
      <c r="C9" s="7" t="s">
        <v>114</v>
      </c>
      <c r="D9">
        <v>4</v>
      </c>
    </row>
    <row r="10" spans="1:4" x14ac:dyDescent="0.3">
      <c r="A10" s="58" t="s">
        <v>56</v>
      </c>
      <c r="B10" s="86">
        <v>0.37037037037037035</v>
      </c>
      <c r="C10" s="7" t="s">
        <v>114</v>
      </c>
      <c r="D10">
        <v>4</v>
      </c>
    </row>
    <row r="11" spans="1:4" x14ac:dyDescent="0.3">
      <c r="A11" s="58" t="s">
        <v>56</v>
      </c>
      <c r="B11" s="86">
        <v>0.3423180592991914</v>
      </c>
      <c r="C11" s="7" t="s">
        <v>114</v>
      </c>
      <c r="D11">
        <v>4</v>
      </c>
    </row>
    <row r="12" spans="1:4" x14ac:dyDescent="0.3">
      <c r="A12" s="58" t="s">
        <v>56</v>
      </c>
      <c r="B12" s="86">
        <v>0.38653366583541149</v>
      </c>
      <c r="C12" s="7" t="s">
        <v>114</v>
      </c>
      <c r="D12">
        <v>4</v>
      </c>
    </row>
    <row r="13" spans="1:4" x14ac:dyDescent="0.3">
      <c r="A13" s="58" t="s">
        <v>56</v>
      </c>
      <c r="B13" s="86">
        <v>0.39117647058823529</v>
      </c>
      <c r="C13" s="7" t="s">
        <v>114</v>
      </c>
      <c r="D13">
        <v>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568A-AA4C-4338-A113-C926A6F77A2C}">
  <dimension ref="A1:D13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29</v>
      </c>
      <c r="B2" s="82">
        <v>0.73</v>
      </c>
      <c r="C2" s="7" t="s">
        <v>113</v>
      </c>
      <c r="D2">
        <v>10</v>
      </c>
    </row>
    <row r="3" spans="1:4" x14ac:dyDescent="0.3">
      <c r="A3" s="58" t="s">
        <v>29</v>
      </c>
      <c r="B3" s="82">
        <v>0.98</v>
      </c>
      <c r="C3" s="7" t="s">
        <v>113</v>
      </c>
      <c r="D3">
        <v>10</v>
      </c>
    </row>
    <row r="4" spans="1:4" x14ac:dyDescent="0.3">
      <c r="A4" s="58" t="s">
        <v>29</v>
      </c>
      <c r="B4" s="82">
        <v>1.1000000000000001</v>
      </c>
      <c r="C4" s="7" t="s">
        <v>113</v>
      </c>
      <c r="D4">
        <v>10</v>
      </c>
    </row>
    <row r="5" spans="1:4" x14ac:dyDescent="0.3">
      <c r="A5" s="58" t="s">
        <v>29</v>
      </c>
      <c r="B5" s="82">
        <v>0.89</v>
      </c>
      <c r="C5" s="7" t="s">
        <v>113</v>
      </c>
      <c r="D5">
        <v>10</v>
      </c>
    </row>
    <row r="6" spans="1:4" x14ac:dyDescent="0.3">
      <c r="A6" s="58" t="s">
        <v>29</v>
      </c>
      <c r="B6" s="82">
        <v>1.04</v>
      </c>
      <c r="C6" s="7" t="s">
        <v>113</v>
      </c>
      <c r="D6">
        <v>10</v>
      </c>
    </row>
    <row r="7" spans="1:4" x14ac:dyDescent="0.3">
      <c r="A7" s="58" t="s">
        <v>29</v>
      </c>
      <c r="B7" s="82">
        <v>0.88</v>
      </c>
      <c r="C7" s="7" t="s">
        <v>113</v>
      </c>
      <c r="D7">
        <v>10</v>
      </c>
    </row>
    <row r="8" spans="1:4" x14ac:dyDescent="0.3">
      <c r="A8" s="58" t="s">
        <v>29</v>
      </c>
      <c r="B8" s="86">
        <v>0.65610859728506787</v>
      </c>
      <c r="C8" s="7" t="s">
        <v>114</v>
      </c>
      <c r="D8">
        <v>10</v>
      </c>
    </row>
    <row r="9" spans="1:4" x14ac:dyDescent="0.3">
      <c r="A9" s="58" t="s">
        <v>29</v>
      </c>
      <c r="B9" s="86">
        <v>0.71647509578544066</v>
      </c>
      <c r="C9" s="7" t="s">
        <v>114</v>
      </c>
      <c r="D9">
        <v>10</v>
      </c>
    </row>
    <row r="10" spans="1:4" x14ac:dyDescent="0.3">
      <c r="A10" s="58" t="s">
        <v>29</v>
      </c>
      <c r="B10" s="82">
        <v>0.72508591065292094</v>
      </c>
      <c r="C10" s="7" t="s">
        <v>114</v>
      </c>
      <c r="D10">
        <v>10</v>
      </c>
    </row>
    <row r="11" spans="1:4" x14ac:dyDescent="0.3">
      <c r="A11" s="58" t="s">
        <v>29</v>
      </c>
      <c r="B11" s="87">
        <v>0.69483568075117375</v>
      </c>
      <c r="C11" s="7" t="s">
        <v>114</v>
      </c>
      <c r="D11">
        <v>10</v>
      </c>
    </row>
    <row r="12" spans="1:4" x14ac:dyDescent="0.3">
      <c r="A12" s="58" t="s">
        <v>29</v>
      </c>
      <c r="B12" s="86">
        <v>0.67073170731707321</v>
      </c>
      <c r="C12" s="7" t="s">
        <v>114</v>
      </c>
      <c r="D12">
        <v>10</v>
      </c>
    </row>
    <row r="13" spans="1:4" x14ac:dyDescent="0.3">
      <c r="A13" s="58" t="s">
        <v>29</v>
      </c>
      <c r="B13" s="86">
        <v>0.703125</v>
      </c>
      <c r="C13" s="7" t="s">
        <v>114</v>
      </c>
      <c r="D13">
        <v>10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73F1-C02F-4D60-A6CA-5337963733C3}">
  <dimension ref="A1:D10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83</v>
      </c>
      <c r="B2" s="82">
        <v>0.53</v>
      </c>
      <c r="C2" s="7" t="s">
        <v>113</v>
      </c>
      <c r="D2">
        <v>15</v>
      </c>
    </row>
    <row r="3" spans="1:4" x14ac:dyDescent="0.3">
      <c r="A3" s="58" t="s">
        <v>83</v>
      </c>
      <c r="B3" s="82">
        <v>0.64</v>
      </c>
      <c r="C3" s="7" t="s">
        <v>113</v>
      </c>
      <c r="D3">
        <v>15</v>
      </c>
    </row>
    <row r="4" spans="1:4" x14ac:dyDescent="0.3">
      <c r="A4" s="58" t="s">
        <v>83</v>
      </c>
      <c r="B4" s="82">
        <v>0.53320000000000001</v>
      </c>
      <c r="C4" s="7" t="s">
        <v>113</v>
      </c>
      <c r="D4">
        <v>15</v>
      </c>
    </row>
    <row r="5" spans="1:4" x14ac:dyDescent="0.3">
      <c r="A5" s="58" t="s">
        <v>83</v>
      </c>
      <c r="B5" s="82">
        <v>0.51600000000000001</v>
      </c>
      <c r="C5" s="7" t="s">
        <v>113</v>
      </c>
      <c r="D5">
        <v>15</v>
      </c>
    </row>
    <row r="6" spans="1:4" x14ac:dyDescent="0.3">
      <c r="A6" s="58" t="s">
        <v>83</v>
      </c>
      <c r="B6" s="86">
        <v>0.70277513399999991</v>
      </c>
      <c r="C6" s="7" t="s">
        <v>114</v>
      </c>
      <c r="D6">
        <v>15</v>
      </c>
    </row>
    <row r="7" spans="1:4" x14ac:dyDescent="0.3">
      <c r="A7" s="58" t="s">
        <v>83</v>
      </c>
      <c r="B7" s="86">
        <v>0.67274608633333344</v>
      </c>
      <c r="C7" s="7" t="s">
        <v>114</v>
      </c>
      <c r="D7">
        <v>15</v>
      </c>
    </row>
    <row r="8" spans="1:4" x14ac:dyDescent="0.3">
      <c r="A8" s="58" t="s">
        <v>83</v>
      </c>
      <c r="B8" s="86">
        <v>0.68866875125000004</v>
      </c>
      <c r="C8" s="7" t="s">
        <v>114</v>
      </c>
      <c r="D8">
        <v>15</v>
      </c>
    </row>
    <row r="9" spans="1:4" x14ac:dyDescent="0.3">
      <c r="A9" s="58" t="s">
        <v>83</v>
      </c>
      <c r="B9" s="86">
        <v>0.59479381399999998</v>
      </c>
      <c r="C9" s="7" t="s">
        <v>114</v>
      </c>
      <c r="D9">
        <v>15</v>
      </c>
    </row>
    <row r="10" spans="1:4" x14ac:dyDescent="0.3">
      <c r="A10" s="58" t="s">
        <v>83</v>
      </c>
      <c r="B10" s="86">
        <v>0.69101458650000003</v>
      </c>
      <c r="C10" s="7" t="s">
        <v>114</v>
      </c>
      <c r="D10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1899-7462-4C33-9220-A58F9E9A41C1}">
  <dimension ref="A1:D14"/>
  <sheetViews>
    <sheetView workbookViewId="0">
      <selection activeCell="A3" sqref="A3"/>
    </sheetView>
  </sheetViews>
  <sheetFormatPr defaultRowHeight="14.4" x14ac:dyDescent="0.3"/>
  <cols>
    <col min="1" max="1" width="32.5546875" bestFit="1" customWidth="1"/>
  </cols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115</v>
      </c>
      <c r="B2" s="82">
        <v>0.78</v>
      </c>
      <c r="C2" s="7" t="s">
        <v>113</v>
      </c>
      <c r="D2">
        <v>20</v>
      </c>
    </row>
    <row r="3" spans="1:4" x14ac:dyDescent="0.3">
      <c r="A3" s="58" t="s">
        <v>115</v>
      </c>
      <c r="B3" s="82">
        <v>0.95</v>
      </c>
      <c r="C3" s="7" t="s">
        <v>113</v>
      </c>
      <c r="D3">
        <v>20</v>
      </c>
    </row>
    <row r="4" spans="1:4" x14ac:dyDescent="0.3">
      <c r="A4" s="58" t="s">
        <v>115</v>
      </c>
      <c r="B4" s="82">
        <v>0.78</v>
      </c>
      <c r="C4" s="7" t="s">
        <v>113</v>
      </c>
      <c r="D4">
        <v>20</v>
      </c>
    </row>
    <row r="5" spans="1:4" x14ac:dyDescent="0.3">
      <c r="A5" s="58" t="s">
        <v>115</v>
      </c>
      <c r="B5" s="82">
        <v>0.86</v>
      </c>
      <c r="C5" s="7" t="s">
        <v>113</v>
      </c>
      <c r="D5">
        <v>20</v>
      </c>
    </row>
    <row r="6" spans="1:4" x14ac:dyDescent="0.3">
      <c r="A6" s="58" t="s">
        <v>115</v>
      </c>
      <c r="B6" s="82">
        <v>0.8256</v>
      </c>
      <c r="C6" s="7" t="s">
        <v>113</v>
      </c>
      <c r="D6">
        <v>20</v>
      </c>
    </row>
    <row r="7" spans="1:4" x14ac:dyDescent="0.3">
      <c r="A7" s="58" t="s">
        <v>115</v>
      </c>
      <c r="B7" s="82">
        <v>0.78</v>
      </c>
      <c r="C7" s="7" t="s">
        <v>113</v>
      </c>
      <c r="D7">
        <v>20</v>
      </c>
    </row>
    <row r="8" spans="1:4" x14ac:dyDescent="0.3">
      <c r="A8" s="58" t="s">
        <v>115</v>
      </c>
      <c r="B8" s="82">
        <v>0.75</v>
      </c>
      <c r="C8" s="7" t="s">
        <v>113</v>
      </c>
      <c r="D8">
        <v>20</v>
      </c>
    </row>
    <row r="9" spans="1:4" x14ac:dyDescent="0.3">
      <c r="A9" s="58" t="s">
        <v>115</v>
      </c>
      <c r="B9" s="86">
        <v>0.72023809523809523</v>
      </c>
      <c r="C9" s="7" t="s">
        <v>114</v>
      </c>
      <c r="D9">
        <v>20</v>
      </c>
    </row>
    <row r="10" spans="1:4" x14ac:dyDescent="0.3">
      <c r="A10" s="58" t="s">
        <v>115</v>
      </c>
      <c r="B10" s="86">
        <v>0.73195876288659789</v>
      </c>
      <c r="C10" s="7" t="s">
        <v>114</v>
      </c>
      <c r="D10">
        <v>20</v>
      </c>
    </row>
    <row r="11" spans="1:4" x14ac:dyDescent="0.3">
      <c r="A11" s="58" t="s">
        <v>115</v>
      </c>
      <c r="B11" s="86">
        <v>0.6785714285714286</v>
      </c>
      <c r="C11" s="7" t="s">
        <v>114</v>
      </c>
      <c r="D11">
        <v>20</v>
      </c>
    </row>
    <row r="12" spans="1:4" x14ac:dyDescent="0.3">
      <c r="A12" s="58" t="s">
        <v>115</v>
      </c>
      <c r="B12" s="86">
        <v>0.70670391061452509</v>
      </c>
      <c r="C12" s="7" t="s">
        <v>114</v>
      </c>
      <c r="D12">
        <v>20</v>
      </c>
    </row>
    <row r="13" spans="1:4" x14ac:dyDescent="0.3">
      <c r="A13" s="58" t="s">
        <v>115</v>
      </c>
      <c r="B13" s="86">
        <v>0.68503937007874016</v>
      </c>
      <c r="C13" s="7" t="s">
        <v>114</v>
      </c>
      <c r="D13">
        <v>20</v>
      </c>
    </row>
    <row r="14" spans="1:4" x14ac:dyDescent="0.3">
      <c r="A14" s="58" t="s">
        <v>115</v>
      </c>
      <c r="B14" s="86">
        <v>0.69020501138952162</v>
      </c>
      <c r="C14" s="7" t="s">
        <v>114</v>
      </c>
      <c r="D14">
        <v>20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59F5-2365-4966-9E97-67641922B4B0}">
  <dimension ref="A1:D14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19</v>
      </c>
      <c r="B2" s="82">
        <v>0.53</v>
      </c>
      <c r="C2" s="7" t="s">
        <v>113</v>
      </c>
      <c r="D2">
        <v>22</v>
      </c>
    </row>
    <row r="3" spans="1:4" x14ac:dyDescent="0.3">
      <c r="A3" s="58" t="s">
        <v>19</v>
      </c>
      <c r="B3" s="82">
        <v>0.65</v>
      </c>
      <c r="C3" s="7" t="s">
        <v>113</v>
      </c>
      <c r="D3">
        <v>22</v>
      </c>
    </row>
    <row r="4" spans="1:4" x14ac:dyDescent="0.3">
      <c r="A4" s="58" t="s">
        <v>19</v>
      </c>
      <c r="B4" s="82">
        <v>0.74</v>
      </c>
      <c r="C4" s="7" t="s">
        <v>113</v>
      </c>
      <c r="D4">
        <v>22</v>
      </c>
    </row>
    <row r="5" spans="1:4" x14ac:dyDescent="0.3">
      <c r="A5" s="58" t="s">
        <v>19</v>
      </c>
      <c r="B5" s="82">
        <v>0.69</v>
      </c>
      <c r="C5" s="7" t="s">
        <v>113</v>
      </c>
      <c r="D5">
        <v>22</v>
      </c>
    </row>
    <row r="6" spans="1:4" x14ac:dyDescent="0.3">
      <c r="A6" s="58" t="s">
        <v>19</v>
      </c>
      <c r="B6" s="82">
        <v>0.76539999999999997</v>
      </c>
      <c r="C6" s="7" t="s">
        <v>113</v>
      </c>
      <c r="D6">
        <v>22</v>
      </c>
    </row>
    <row r="7" spans="1:4" x14ac:dyDescent="0.3">
      <c r="A7" s="58" t="s">
        <v>19</v>
      </c>
      <c r="B7" s="82">
        <v>0.77400000000000002</v>
      </c>
      <c r="C7" s="7" t="s">
        <v>113</v>
      </c>
      <c r="D7">
        <v>22</v>
      </c>
    </row>
    <row r="8" spans="1:4" x14ac:dyDescent="0.3">
      <c r="A8" s="58" t="s">
        <v>19</v>
      </c>
      <c r="B8" s="82">
        <v>0.75</v>
      </c>
      <c r="C8" s="7" t="s">
        <v>113</v>
      </c>
      <c r="D8">
        <v>22</v>
      </c>
    </row>
    <row r="9" spans="1:4" x14ac:dyDescent="0.3">
      <c r="A9" s="58" t="s">
        <v>19</v>
      </c>
      <c r="B9" s="88">
        <v>0.55428571428571427</v>
      </c>
      <c r="C9" s="7" t="s">
        <v>114</v>
      </c>
      <c r="D9">
        <v>22</v>
      </c>
    </row>
    <row r="10" spans="1:4" x14ac:dyDescent="0.3">
      <c r="A10" s="58" t="s">
        <v>19</v>
      </c>
      <c r="B10" s="88">
        <v>0.56082474226804124</v>
      </c>
      <c r="C10" s="7" t="s">
        <v>114</v>
      </c>
      <c r="D10">
        <v>22</v>
      </c>
    </row>
    <row r="11" spans="1:4" x14ac:dyDescent="0.3">
      <c r="A11" s="58" t="s">
        <v>19</v>
      </c>
      <c r="B11" s="86">
        <v>0.55384615384615388</v>
      </c>
      <c r="C11" s="7" t="s">
        <v>114</v>
      </c>
      <c r="D11">
        <v>22</v>
      </c>
    </row>
    <row r="12" spans="1:4" x14ac:dyDescent="0.3">
      <c r="A12" s="58" t="s">
        <v>19</v>
      </c>
      <c r="B12" s="82">
        <v>0.49723756906077349</v>
      </c>
      <c r="C12" s="7" t="s">
        <v>114</v>
      </c>
      <c r="D12">
        <v>22</v>
      </c>
    </row>
    <row r="13" spans="1:4" x14ac:dyDescent="0.3">
      <c r="A13" s="58" t="s">
        <v>19</v>
      </c>
      <c r="B13" s="86">
        <v>0.49627791563275436</v>
      </c>
      <c r="C13" s="7" t="s">
        <v>114</v>
      </c>
      <c r="D13">
        <v>22</v>
      </c>
    </row>
    <row r="14" spans="1:4" x14ac:dyDescent="0.3">
      <c r="A14" s="58" t="s">
        <v>19</v>
      </c>
      <c r="B14" s="88">
        <v>0.50819672131147542</v>
      </c>
      <c r="C14" s="7" t="s">
        <v>114</v>
      </c>
      <c r="D14">
        <v>22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B28C-D9AD-4218-BEDD-882E9C76B813}">
  <dimension ref="A1:C33"/>
  <sheetViews>
    <sheetView topLeftCell="A6" workbookViewId="0">
      <selection sqref="A1:A33"/>
    </sheetView>
  </sheetViews>
  <sheetFormatPr defaultRowHeight="14.4" x14ac:dyDescent="0.3"/>
  <cols>
    <col min="1" max="1" width="42.44140625" bestFit="1" customWidth="1"/>
    <col min="2" max="2" width="17.6640625" bestFit="1" customWidth="1"/>
    <col min="3" max="3" width="21" bestFit="1" customWidth="1"/>
  </cols>
  <sheetData>
    <row r="1" spans="1:3" x14ac:dyDescent="0.3">
      <c r="A1" s="58" t="s">
        <v>89</v>
      </c>
      <c r="B1" s="58" t="s">
        <v>116</v>
      </c>
      <c r="C1" s="58" t="s">
        <v>108</v>
      </c>
    </row>
    <row r="2" spans="1:3" x14ac:dyDescent="0.3">
      <c r="A2" s="58" t="s">
        <v>67</v>
      </c>
      <c r="B2" s="82">
        <v>0.6169</v>
      </c>
      <c r="C2" s="82">
        <v>0.6</v>
      </c>
    </row>
    <row r="3" spans="1:3" x14ac:dyDescent="0.3">
      <c r="A3" s="58" t="s">
        <v>80</v>
      </c>
      <c r="B3" s="82">
        <v>0.68179999999999996</v>
      </c>
      <c r="C3" s="82">
        <v>0.83535000000000004</v>
      </c>
    </row>
    <row r="4" spans="1:3" x14ac:dyDescent="0.3">
      <c r="A4" s="58" t="s">
        <v>53</v>
      </c>
      <c r="B4" s="82">
        <v>0.7026</v>
      </c>
      <c r="C4" s="82">
        <v>0.71097777777777793</v>
      </c>
    </row>
    <row r="5" spans="1:3" x14ac:dyDescent="0.3">
      <c r="A5" s="58" t="s">
        <v>56</v>
      </c>
      <c r="B5" s="82">
        <v>0.35449999999999998</v>
      </c>
      <c r="C5" s="82">
        <v>0.46216666666666661</v>
      </c>
    </row>
    <row r="6" spans="1:3" x14ac:dyDescent="0.3">
      <c r="A6" s="58" t="s">
        <v>87</v>
      </c>
      <c r="B6" s="82">
        <v>0.371</v>
      </c>
      <c r="C6" s="82">
        <v>0.31090000000000001</v>
      </c>
    </row>
    <row r="7" spans="1:3" x14ac:dyDescent="0.3">
      <c r="A7" s="58" t="s">
        <v>52</v>
      </c>
      <c r="B7" s="82">
        <v>0.57099999999999995</v>
      </c>
      <c r="C7" s="82">
        <v>0.61499999999999999</v>
      </c>
    </row>
    <row r="8" spans="1:3" x14ac:dyDescent="0.3">
      <c r="A8" s="58" t="s">
        <v>73</v>
      </c>
      <c r="B8" s="82">
        <v>0.377</v>
      </c>
      <c r="C8" s="82">
        <v>0.48499999999999999</v>
      </c>
    </row>
    <row r="9" spans="1:3" x14ac:dyDescent="0.3">
      <c r="A9" s="58" t="s">
        <v>72</v>
      </c>
      <c r="B9" s="82">
        <v>0.57489999999999997</v>
      </c>
      <c r="C9" s="82">
        <v>0.63</v>
      </c>
    </row>
    <row r="10" spans="1:3" x14ac:dyDescent="0.3">
      <c r="A10" s="58" t="s">
        <v>36</v>
      </c>
      <c r="B10" s="82">
        <v>0.43030000000000002</v>
      </c>
      <c r="C10" s="82">
        <v>0.49666666666666665</v>
      </c>
    </row>
    <row r="11" spans="1:3" x14ac:dyDescent="0.3">
      <c r="A11" s="58" t="s">
        <v>29</v>
      </c>
      <c r="B11" s="82">
        <v>0.69430000000000003</v>
      </c>
      <c r="C11" s="82">
        <v>0.93666666666666665</v>
      </c>
    </row>
    <row r="12" spans="1:3" x14ac:dyDescent="0.3">
      <c r="A12" s="58" t="s">
        <v>82</v>
      </c>
      <c r="B12" s="82">
        <v>0.32679999999999998</v>
      </c>
      <c r="C12" s="82">
        <v>0.38347999999999999</v>
      </c>
    </row>
    <row r="13" spans="1:3" x14ac:dyDescent="0.3">
      <c r="A13" s="58" t="s">
        <v>85</v>
      </c>
      <c r="B13" s="82">
        <v>0.53669999999999995</v>
      </c>
      <c r="C13" s="82">
        <v>0.4</v>
      </c>
    </row>
    <row r="14" spans="1:3" x14ac:dyDescent="0.3">
      <c r="A14" s="58" t="s">
        <v>79</v>
      </c>
      <c r="B14" s="82">
        <v>0.75600000000000001</v>
      </c>
      <c r="C14" s="82">
        <v>0.78982526315789459</v>
      </c>
    </row>
    <row r="15" spans="1:3" x14ac:dyDescent="0.3">
      <c r="A15" s="58" t="s">
        <v>74</v>
      </c>
      <c r="B15" s="82">
        <v>0.55779999999999996</v>
      </c>
      <c r="C15" s="82">
        <v>0.59000000000000008</v>
      </c>
    </row>
    <row r="16" spans="1:3" x14ac:dyDescent="0.3">
      <c r="A16" s="58" t="s">
        <v>83</v>
      </c>
      <c r="B16" s="82">
        <v>0.66990000000000005</v>
      </c>
      <c r="C16" s="82">
        <v>0.55479999999999996</v>
      </c>
    </row>
    <row r="17" spans="1:3" x14ac:dyDescent="0.3">
      <c r="A17" s="58" t="s">
        <v>66</v>
      </c>
      <c r="B17" s="82">
        <v>0.51819999999999999</v>
      </c>
      <c r="C17" s="82">
        <v>0.63</v>
      </c>
    </row>
    <row r="18" spans="1:3" x14ac:dyDescent="0.3">
      <c r="A18" s="58" t="s">
        <v>48</v>
      </c>
      <c r="B18" s="82">
        <v>0.3448</v>
      </c>
      <c r="C18" s="82">
        <v>0.66</v>
      </c>
    </row>
    <row r="19" spans="1:3" x14ac:dyDescent="0.3">
      <c r="A19" s="58" t="s">
        <v>75</v>
      </c>
      <c r="B19" s="82">
        <v>0.75780000000000003</v>
      </c>
      <c r="C19" s="82">
        <v>0.8</v>
      </c>
    </row>
    <row r="20" spans="1:3" x14ac:dyDescent="0.3">
      <c r="A20" s="58" t="s">
        <v>58</v>
      </c>
      <c r="B20" s="82">
        <v>0.58850000000000002</v>
      </c>
      <c r="C20" s="82">
        <v>0.95499999999999996</v>
      </c>
    </row>
    <row r="21" spans="1:3" x14ac:dyDescent="0.3">
      <c r="A21" s="58" t="s">
        <v>55</v>
      </c>
      <c r="B21" s="82">
        <v>0.70209999999999995</v>
      </c>
      <c r="C21" s="82">
        <v>0.81794285714285719</v>
      </c>
    </row>
    <row r="22" spans="1:3" x14ac:dyDescent="0.3">
      <c r="A22" s="58" t="s">
        <v>76</v>
      </c>
      <c r="B22" s="82">
        <v>0.72640000000000005</v>
      </c>
      <c r="C22" s="82">
        <v>0.76666666666666661</v>
      </c>
    </row>
    <row r="23" spans="1:3" x14ac:dyDescent="0.3">
      <c r="A23" s="58" t="s">
        <v>19</v>
      </c>
      <c r="B23" s="82">
        <v>0.52839999999999998</v>
      </c>
      <c r="C23" s="82">
        <v>0.69991428571428571</v>
      </c>
    </row>
    <row r="24" spans="1:3" x14ac:dyDescent="0.3">
      <c r="A24" s="58" t="s">
        <v>81</v>
      </c>
      <c r="B24" s="82">
        <v>0.64180000000000004</v>
      </c>
      <c r="C24" s="82">
        <v>0.63750000000000007</v>
      </c>
    </row>
    <row r="25" spans="1:3" x14ac:dyDescent="0.3">
      <c r="A25" s="58" t="s">
        <v>88</v>
      </c>
      <c r="B25" s="82">
        <v>0.93010000000000004</v>
      </c>
      <c r="C25" s="82">
        <v>0.9</v>
      </c>
    </row>
    <row r="26" spans="1:3" x14ac:dyDescent="0.3">
      <c r="A26" s="58" t="s">
        <v>64</v>
      </c>
      <c r="B26" s="82">
        <v>0.51910000000000001</v>
      </c>
      <c r="C26" s="82">
        <v>0.65178049999999998</v>
      </c>
    </row>
    <row r="27" spans="1:3" x14ac:dyDescent="0.3">
      <c r="A27" s="58" t="s">
        <v>77</v>
      </c>
      <c r="B27" s="82">
        <v>0.70430000000000004</v>
      </c>
      <c r="C27" s="82">
        <v>0.68207999999999991</v>
      </c>
    </row>
    <row r="28" spans="1:3" x14ac:dyDescent="0.3">
      <c r="A28" s="58" t="s">
        <v>70</v>
      </c>
      <c r="B28" s="82">
        <v>0.4884</v>
      </c>
      <c r="C28" s="82">
        <v>0.49</v>
      </c>
    </row>
    <row r="29" spans="1:3" x14ac:dyDescent="0.3">
      <c r="A29" s="58" t="s">
        <v>78</v>
      </c>
      <c r="B29" s="82">
        <v>0.38719999999999999</v>
      </c>
      <c r="C29" s="82">
        <v>0.33799999999999997</v>
      </c>
    </row>
    <row r="30" spans="1:3" x14ac:dyDescent="0.3">
      <c r="A30" s="58" t="s">
        <v>61</v>
      </c>
      <c r="B30" s="82">
        <v>0.68059999999999998</v>
      </c>
      <c r="C30" s="82">
        <v>0.62785666666666673</v>
      </c>
    </row>
    <row r="31" spans="1:3" x14ac:dyDescent="0.3">
      <c r="A31" s="58" t="s">
        <v>69</v>
      </c>
      <c r="B31" s="82">
        <v>0.41909999999999997</v>
      </c>
      <c r="C31" s="82" t="s">
        <v>106</v>
      </c>
    </row>
    <row r="32" spans="1:3" x14ac:dyDescent="0.3">
      <c r="A32" s="58" t="s">
        <v>62</v>
      </c>
      <c r="B32" s="82">
        <v>0.2298</v>
      </c>
      <c r="C32" s="82">
        <v>0.16500000000000001</v>
      </c>
    </row>
    <row r="33" spans="1:3" x14ac:dyDescent="0.3">
      <c r="A33" s="58" t="s">
        <v>43</v>
      </c>
      <c r="B33" s="82">
        <v>0.55700000000000005</v>
      </c>
      <c r="C33" s="82">
        <v>0.68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A5B7-5706-4A29-85ED-B6C2D81A3773}">
  <dimension ref="A1:P174"/>
  <sheetViews>
    <sheetView zoomScale="80" zoomScaleNormal="80" workbookViewId="0">
      <selection activeCell="J12" sqref="J12"/>
    </sheetView>
  </sheetViews>
  <sheetFormatPr defaultRowHeight="14.4" x14ac:dyDescent="0.3"/>
  <cols>
    <col min="1" max="1" width="28.44140625" bestFit="1" customWidth="1"/>
    <col min="2" max="2" width="10" bestFit="1" customWidth="1"/>
    <col min="3" max="3" width="4.33203125" bestFit="1" customWidth="1"/>
    <col min="4" max="4" width="5.5546875" bestFit="1" customWidth="1"/>
    <col min="5" max="5" width="4.44140625" bestFit="1" customWidth="1"/>
    <col min="6" max="6" width="7.6640625" bestFit="1" customWidth="1"/>
    <col min="7" max="7" width="13.88671875" bestFit="1" customWidth="1"/>
    <col min="8" max="8" width="5" bestFit="1" customWidth="1"/>
    <col min="9" max="9" width="6.6640625" bestFit="1" customWidth="1"/>
    <col min="10" max="10" width="16" bestFit="1" customWidth="1"/>
    <col min="11" max="11" width="11.21875" bestFit="1" customWidth="1"/>
    <col min="12" max="12" width="14" bestFit="1" customWidth="1"/>
    <col min="13" max="13" width="17.109375" bestFit="1" customWidth="1"/>
    <col min="14" max="14" width="15.5546875" bestFit="1" customWidth="1"/>
    <col min="15" max="15" width="18.33203125" bestFit="1" customWidth="1"/>
    <col min="16" max="16" width="3" bestFit="1" customWidth="1"/>
  </cols>
  <sheetData>
    <row r="1" spans="1:16" x14ac:dyDescent="0.3">
      <c r="A1" s="58" t="s">
        <v>520</v>
      </c>
      <c r="B1" s="58" t="s">
        <v>521</v>
      </c>
      <c r="C1" s="58" t="s">
        <v>522</v>
      </c>
      <c r="D1" s="58" t="s">
        <v>523</v>
      </c>
      <c r="E1" s="58" t="s">
        <v>524</v>
      </c>
      <c r="F1" s="58" t="s">
        <v>525</v>
      </c>
      <c r="G1" s="58" t="s">
        <v>526</v>
      </c>
      <c r="H1" s="58" t="s">
        <v>527</v>
      </c>
      <c r="I1" s="58" t="s">
        <v>528</v>
      </c>
      <c r="J1" s="58" t="s">
        <v>529</v>
      </c>
      <c r="K1" s="94" t="s">
        <v>117</v>
      </c>
      <c r="L1" s="94" t="s">
        <v>118</v>
      </c>
      <c r="M1" s="58" t="s">
        <v>530</v>
      </c>
      <c r="N1" s="94" t="s">
        <v>531</v>
      </c>
      <c r="O1" s="94" t="s">
        <v>532</v>
      </c>
      <c r="P1" s="58" t="s">
        <v>112</v>
      </c>
    </row>
    <row r="2" spans="1:16" s="98" customFormat="1" x14ac:dyDescent="0.3">
      <c r="A2" s="89" t="s">
        <v>119</v>
      </c>
      <c r="B2" s="90" t="s">
        <v>59</v>
      </c>
      <c r="C2" s="91">
        <v>1</v>
      </c>
      <c r="D2" s="91">
        <v>1</v>
      </c>
      <c r="E2" s="91">
        <v>2</v>
      </c>
      <c r="F2" s="91">
        <v>1296</v>
      </c>
      <c r="G2" s="90" t="s">
        <v>68</v>
      </c>
      <c r="H2" s="91">
        <v>12.5</v>
      </c>
      <c r="I2" s="91">
        <v>10</v>
      </c>
      <c r="J2" s="95">
        <v>0.6169</v>
      </c>
      <c r="K2" s="96">
        <f>((0.0673)*((J2*H2^2*I2)^0.976))</f>
        <v>55.008908210472867</v>
      </c>
      <c r="L2" s="96">
        <f t="shared" ref="L2:L65" si="0">EXP(-1.305+1.055*LN(H2^2)+0.34*LN(I2)+1.077*LN(J2))</f>
        <v>72.742317998140351</v>
      </c>
      <c r="M2" s="95">
        <v>0.6</v>
      </c>
      <c r="N2" s="97">
        <f>((0.0673)*((M2*H2^2*I2)^0.976))</f>
        <v>53.537616197024796</v>
      </c>
      <c r="O2" s="97">
        <f>EXP(-1.305+1.055*LN(H2^2)+0.34*LN(I2)+1.077*LN(M2))</f>
        <v>70.598378323438965</v>
      </c>
      <c r="P2" s="89">
        <v>1</v>
      </c>
    </row>
    <row r="3" spans="1:16" s="98" customFormat="1" x14ac:dyDescent="0.3">
      <c r="A3" s="89" t="s">
        <v>119</v>
      </c>
      <c r="B3" s="90" t="s">
        <v>26</v>
      </c>
      <c r="C3" s="91">
        <v>1</v>
      </c>
      <c r="D3" s="91">
        <v>1</v>
      </c>
      <c r="E3" s="91">
        <v>2</v>
      </c>
      <c r="F3" s="91">
        <v>1648</v>
      </c>
      <c r="G3" s="90" t="s">
        <v>68</v>
      </c>
      <c r="H3" s="91">
        <v>18.399999999999999</v>
      </c>
      <c r="I3" s="91">
        <v>10.3</v>
      </c>
      <c r="J3" s="95">
        <v>0.6169</v>
      </c>
      <c r="K3" s="96">
        <f t="shared" ref="K3:K65" si="1">((0.0673)*((J3*H3^2*I3)^0.976))</f>
        <v>120.4254289173317</v>
      </c>
      <c r="L3" s="96">
        <f t="shared" si="0"/>
        <v>166.12587124894142</v>
      </c>
      <c r="M3" s="95">
        <v>0.6</v>
      </c>
      <c r="N3" s="97">
        <f t="shared" ref="N3:N66" si="2">((0.0673)*((M3*H3^2*I3)^0.976))</f>
        <v>117.20447839229662</v>
      </c>
      <c r="O3" s="97">
        <f t="shared" ref="O3:O66" si="3">EXP(-1.305+1.055*LN(H3^2)+0.34*LN(I3)+1.077*LN(M3))</f>
        <v>161.22963125870567</v>
      </c>
      <c r="P3" s="89">
        <v>1</v>
      </c>
    </row>
    <row r="4" spans="1:16" s="98" customFormat="1" x14ac:dyDescent="0.3">
      <c r="A4" s="89" t="s">
        <v>119</v>
      </c>
      <c r="B4" s="90" t="s">
        <v>26</v>
      </c>
      <c r="C4" s="91">
        <v>1</v>
      </c>
      <c r="D4" s="91">
        <v>1</v>
      </c>
      <c r="E4" s="91">
        <v>2</v>
      </c>
      <c r="F4" s="91">
        <v>1651</v>
      </c>
      <c r="G4" s="90" t="s">
        <v>68</v>
      </c>
      <c r="H4" s="91">
        <v>10.6</v>
      </c>
      <c r="I4" s="91">
        <v>7</v>
      </c>
      <c r="J4" s="95">
        <v>0.6169</v>
      </c>
      <c r="K4" s="96">
        <f t="shared" si="1"/>
        <v>28.149936274188338</v>
      </c>
      <c r="L4" s="96">
        <f t="shared" si="0"/>
        <v>45.502548158772044</v>
      </c>
      <c r="M4" s="95">
        <v>0.6</v>
      </c>
      <c r="N4" s="97">
        <f t="shared" si="2"/>
        <v>27.397025922635486</v>
      </c>
      <c r="O4" s="97">
        <f t="shared" si="3"/>
        <v>44.161448218843049</v>
      </c>
      <c r="P4" s="89">
        <v>1</v>
      </c>
    </row>
    <row r="5" spans="1:16" s="98" customFormat="1" x14ac:dyDescent="0.3">
      <c r="A5" s="89" t="s">
        <v>119</v>
      </c>
      <c r="B5" s="90" t="s">
        <v>24</v>
      </c>
      <c r="C5" s="91">
        <v>1</v>
      </c>
      <c r="D5" s="91">
        <v>1</v>
      </c>
      <c r="E5" s="91">
        <v>1</v>
      </c>
      <c r="F5" s="91">
        <v>1670</v>
      </c>
      <c r="G5" s="90" t="s">
        <v>68</v>
      </c>
      <c r="H5" s="91">
        <v>11.2</v>
      </c>
      <c r="I5" s="91">
        <v>6.8</v>
      </c>
      <c r="J5" s="95">
        <v>0.6169</v>
      </c>
      <c r="K5" s="96">
        <f t="shared" si="1"/>
        <v>30.469614461388826</v>
      </c>
      <c r="L5" s="96">
        <f t="shared" si="0"/>
        <v>50.60693869225085</v>
      </c>
      <c r="M5" s="95">
        <v>0.6</v>
      </c>
      <c r="N5" s="97">
        <f t="shared" si="2"/>
        <v>29.654660995336425</v>
      </c>
      <c r="O5" s="97">
        <f t="shared" si="3"/>
        <v>49.115396675672947</v>
      </c>
      <c r="P5" s="89">
        <v>1</v>
      </c>
    </row>
    <row r="6" spans="1:16" s="98" customFormat="1" x14ac:dyDescent="0.3">
      <c r="A6" s="89" t="s">
        <v>119</v>
      </c>
      <c r="B6" s="90" t="s">
        <v>24</v>
      </c>
      <c r="C6" s="91">
        <v>1</v>
      </c>
      <c r="D6" s="91">
        <v>1</v>
      </c>
      <c r="E6" s="91">
        <v>1</v>
      </c>
      <c r="F6" s="91">
        <v>1667</v>
      </c>
      <c r="G6" s="90" t="s">
        <v>68</v>
      </c>
      <c r="H6" s="92">
        <f>SQRT(8.9^2+9.1^2)</f>
        <v>12.728707711311467</v>
      </c>
      <c r="I6" s="91">
        <v>7.4</v>
      </c>
      <c r="J6" s="95">
        <v>0.6169</v>
      </c>
      <c r="K6" s="96">
        <f t="shared" si="1"/>
        <v>42.478954494107121</v>
      </c>
      <c r="L6" s="96">
        <f t="shared" si="0"/>
        <v>68.224552504273788</v>
      </c>
      <c r="M6" s="95">
        <v>0.6</v>
      </c>
      <c r="N6" s="97">
        <f t="shared" si="2"/>
        <v>41.342794033556345</v>
      </c>
      <c r="O6" s="97">
        <f t="shared" si="3"/>
        <v>66.213765263394279</v>
      </c>
      <c r="P6" s="89">
        <v>1</v>
      </c>
    </row>
    <row r="7" spans="1:16" s="98" customFormat="1" x14ac:dyDescent="0.3">
      <c r="A7" s="89" t="s">
        <v>119</v>
      </c>
      <c r="B7" s="90" t="s">
        <v>44</v>
      </c>
      <c r="C7" s="91">
        <v>1</v>
      </c>
      <c r="D7" s="91">
        <v>2</v>
      </c>
      <c r="E7" s="91">
        <v>2</v>
      </c>
      <c r="F7" s="91">
        <v>7495</v>
      </c>
      <c r="G7" s="90" t="s">
        <v>68</v>
      </c>
      <c r="H7" s="91">
        <v>12.4</v>
      </c>
      <c r="I7" s="91">
        <v>8.6999999999999993</v>
      </c>
      <c r="J7" s="95">
        <v>0.6169</v>
      </c>
      <c r="K7" s="96">
        <f t="shared" si="1"/>
        <v>47.2709793454951</v>
      </c>
      <c r="L7" s="96">
        <f t="shared" si="0"/>
        <v>68.212396880639801</v>
      </c>
      <c r="M7" s="95">
        <v>0.6</v>
      </c>
      <c r="N7" s="97">
        <f t="shared" si="2"/>
        <v>46.006649318932979</v>
      </c>
      <c r="O7" s="97">
        <f t="shared" si="3"/>
        <v>66.201967903347381</v>
      </c>
      <c r="P7" s="89">
        <v>1</v>
      </c>
    </row>
    <row r="8" spans="1:16" x14ac:dyDescent="0.3">
      <c r="A8" s="58" t="s">
        <v>120</v>
      </c>
      <c r="B8" s="7" t="s">
        <v>30</v>
      </c>
      <c r="C8" s="16">
        <v>1</v>
      </c>
      <c r="D8" s="16">
        <v>3</v>
      </c>
      <c r="E8" s="16">
        <v>1</v>
      </c>
      <c r="F8" s="16">
        <v>1725</v>
      </c>
      <c r="G8" s="7" t="s">
        <v>21</v>
      </c>
      <c r="H8" s="21">
        <v>12.7</v>
      </c>
      <c r="I8" s="3">
        <v>12.6</v>
      </c>
      <c r="J8" s="82">
        <v>0.68179999999999996</v>
      </c>
      <c r="K8" s="81">
        <f t="shared" si="1"/>
        <v>78.388221031059487</v>
      </c>
      <c r="L8" s="81">
        <f t="shared" si="0"/>
        <v>90.624604306567875</v>
      </c>
      <c r="M8" s="82">
        <v>0.83535000000000004</v>
      </c>
      <c r="N8" s="99">
        <f t="shared" si="2"/>
        <v>95.575199465199319</v>
      </c>
      <c r="O8" s="99">
        <f t="shared" si="3"/>
        <v>112.7846217420572</v>
      </c>
      <c r="P8" s="58">
        <v>2</v>
      </c>
    </row>
    <row r="9" spans="1:16" x14ac:dyDescent="0.3">
      <c r="A9" s="58" t="s">
        <v>120</v>
      </c>
      <c r="B9" s="7" t="s">
        <v>20</v>
      </c>
      <c r="C9" s="16">
        <v>1</v>
      </c>
      <c r="D9" s="16">
        <v>2</v>
      </c>
      <c r="E9" s="16">
        <v>2</v>
      </c>
      <c r="F9" s="16">
        <v>7464</v>
      </c>
      <c r="G9" s="7" t="s">
        <v>21</v>
      </c>
      <c r="H9" s="21">
        <v>36</v>
      </c>
      <c r="I9" s="3">
        <v>19.399999999999999</v>
      </c>
      <c r="J9" s="82">
        <v>0.68179999999999996</v>
      </c>
      <c r="K9" s="81">
        <f t="shared" si="1"/>
        <v>912.97999840488046</v>
      </c>
      <c r="L9" s="81">
        <f t="shared" si="0"/>
        <v>945.68206262590002</v>
      </c>
      <c r="M9" s="82">
        <v>0.83535000000000004</v>
      </c>
      <c r="N9" s="99">
        <f t="shared" si="2"/>
        <v>1113.1550672735605</v>
      </c>
      <c r="O9" s="99">
        <f t="shared" si="3"/>
        <v>1176.9253453587844</v>
      </c>
      <c r="P9" s="58">
        <v>2</v>
      </c>
    </row>
    <row r="10" spans="1:16" x14ac:dyDescent="0.3">
      <c r="A10" s="58" t="s">
        <v>120</v>
      </c>
      <c r="B10" s="7" t="s">
        <v>20</v>
      </c>
      <c r="C10" s="16">
        <v>1</v>
      </c>
      <c r="D10" s="16">
        <v>3</v>
      </c>
      <c r="E10" s="16">
        <v>1</v>
      </c>
      <c r="F10" s="16">
        <v>3236</v>
      </c>
      <c r="G10" s="7" t="s">
        <v>21</v>
      </c>
      <c r="H10" s="21">
        <v>22.6</v>
      </c>
      <c r="I10" s="3">
        <v>22.5</v>
      </c>
      <c r="J10" s="82">
        <v>0.68179999999999996</v>
      </c>
      <c r="K10" s="81">
        <f t="shared" si="1"/>
        <v>425.22041214346007</v>
      </c>
      <c r="L10" s="81">
        <f t="shared" si="0"/>
        <v>372.39612181417135</v>
      </c>
      <c r="M10" s="82">
        <v>0.83535000000000004</v>
      </c>
      <c r="N10" s="99">
        <f t="shared" si="2"/>
        <v>518.45194562053814</v>
      </c>
      <c r="O10" s="99">
        <f t="shared" si="3"/>
        <v>463.45643170964388</v>
      </c>
      <c r="P10" s="58">
        <v>2</v>
      </c>
    </row>
    <row r="11" spans="1:16" x14ac:dyDescent="0.3">
      <c r="A11" s="58" t="s">
        <v>120</v>
      </c>
      <c r="B11" s="7" t="s">
        <v>30</v>
      </c>
      <c r="C11" s="16">
        <v>2</v>
      </c>
      <c r="D11" s="16">
        <v>1</v>
      </c>
      <c r="E11" s="16">
        <v>1</v>
      </c>
      <c r="F11" s="16">
        <v>77</v>
      </c>
      <c r="G11" s="7" t="s">
        <v>21</v>
      </c>
      <c r="H11" s="21">
        <v>33.200000000000003</v>
      </c>
      <c r="I11" s="3">
        <v>22.3</v>
      </c>
      <c r="J11" s="82">
        <v>0.68179999999999996</v>
      </c>
      <c r="K11" s="81">
        <f t="shared" si="1"/>
        <v>893.04096067035539</v>
      </c>
      <c r="L11" s="81">
        <f t="shared" si="0"/>
        <v>835.83258245784134</v>
      </c>
      <c r="M11" s="82">
        <v>0.83535000000000004</v>
      </c>
      <c r="N11" s="99">
        <f t="shared" si="2"/>
        <v>1088.8443036976619</v>
      </c>
      <c r="O11" s="99">
        <f t="shared" si="3"/>
        <v>1040.2148773339522</v>
      </c>
      <c r="P11" s="58">
        <v>2</v>
      </c>
    </row>
    <row r="12" spans="1:16" x14ac:dyDescent="0.3">
      <c r="A12" s="58" t="s">
        <v>120</v>
      </c>
      <c r="B12" s="7" t="s">
        <v>30</v>
      </c>
      <c r="C12" s="16">
        <v>2</v>
      </c>
      <c r="D12" s="16">
        <v>2</v>
      </c>
      <c r="E12" s="16">
        <v>1</v>
      </c>
      <c r="F12" s="16">
        <v>441</v>
      </c>
      <c r="G12" s="7" t="s">
        <v>21</v>
      </c>
      <c r="H12" s="21">
        <v>28.3</v>
      </c>
      <c r="I12" s="21">
        <v>21</v>
      </c>
      <c r="J12" s="82">
        <v>0.68179999999999996</v>
      </c>
      <c r="K12" s="81">
        <f t="shared" si="1"/>
        <v>616.64816999158563</v>
      </c>
      <c r="L12" s="81">
        <f t="shared" si="0"/>
        <v>584.67998336696587</v>
      </c>
      <c r="M12" s="82">
        <v>0.83535000000000004</v>
      </c>
      <c r="N12" s="99">
        <f t="shared" si="2"/>
        <v>751.85112089026586</v>
      </c>
      <c r="O12" s="99">
        <f t="shared" si="3"/>
        <v>727.64908899487943</v>
      </c>
      <c r="P12" s="58">
        <v>2</v>
      </c>
    </row>
    <row r="13" spans="1:16" x14ac:dyDescent="0.3">
      <c r="A13" s="58" t="s">
        <v>120</v>
      </c>
      <c r="B13" s="7" t="s">
        <v>44</v>
      </c>
      <c r="C13" s="16">
        <v>2</v>
      </c>
      <c r="D13" s="16">
        <v>3</v>
      </c>
      <c r="E13" s="16">
        <v>1</v>
      </c>
      <c r="F13" s="16">
        <v>701</v>
      </c>
      <c r="G13" s="7" t="s">
        <v>21</v>
      </c>
      <c r="H13" s="21">
        <v>17.600000000000001</v>
      </c>
      <c r="I13" s="21">
        <v>20.6</v>
      </c>
      <c r="J13" s="82">
        <v>0.68179999999999996</v>
      </c>
      <c r="K13" s="81">
        <f t="shared" si="1"/>
        <v>239.46355623027932</v>
      </c>
      <c r="L13" s="81">
        <f t="shared" si="0"/>
        <v>213.22634903952533</v>
      </c>
      <c r="M13" s="82">
        <v>0.83535000000000004</v>
      </c>
      <c r="N13" s="99">
        <f t="shared" si="2"/>
        <v>291.96704364915485</v>
      </c>
      <c r="O13" s="99">
        <f t="shared" si="3"/>
        <v>265.3656068997571</v>
      </c>
      <c r="P13" s="58">
        <v>2</v>
      </c>
    </row>
    <row r="14" spans="1:16" s="98" customFormat="1" x14ac:dyDescent="0.3">
      <c r="A14" s="89" t="s">
        <v>121</v>
      </c>
      <c r="B14" s="90" t="s">
        <v>24</v>
      </c>
      <c r="C14" s="91">
        <v>1</v>
      </c>
      <c r="D14" s="91">
        <v>2</v>
      </c>
      <c r="E14" s="91">
        <v>1</v>
      </c>
      <c r="F14" s="91">
        <v>1372</v>
      </c>
      <c r="G14" s="90" t="s">
        <v>54</v>
      </c>
      <c r="H14" s="91">
        <v>13.3</v>
      </c>
      <c r="I14" s="91">
        <v>10.6</v>
      </c>
      <c r="J14" s="95">
        <v>0.7026</v>
      </c>
      <c r="K14" s="96">
        <f t="shared" si="1"/>
        <v>74.620669607097199</v>
      </c>
      <c r="L14" s="96">
        <f t="shared" si="0"/>
        <v>97.292940737651676</v>
      </c>
      <c r="M14" s="95">
        <v>0.71097777777777793</v>
      </c>
      <c r="N14" s="97">
        <f t="shared" si="2"/>
        <v>75.488965517114778</v>
      </c>
      <c r="O14" s="97">
        <f t="shared" si="3"/>
        <v>98.542958904356695</v>
      </c>
      <c r="P14" s="89">
        <v>3</v>
      </c>
    </row>
    <row r="15" spans="1:16" s="98" customFormat="1" x14ac:dyDescent="0.3">
      <c r="A15" s="89" t="s">
        <v>121</v>
      </c>
      <c r="B15" s="90" t="s">
        <v>24</v>
      </c>
      <c r="C15" s="91">
        <v>1</v>
      </c>
      <c r="D15" s="91">
        <v>2</v>
      </c>
      <c r="E15" s="91">
        <v>1</v>
      </c>
      <c r="F15" s="91">
        <v>1373</v>
      </c>
      <c r="G15" s="90" t="s">
        <v>54</v>
      </c>
      <c r="H15" s="91">
        <v>13</v>
      </c>
      <c r="I15" s="91">
        <v>10.3</v>
      </c>
      <c r="J15" s="95">
        <v>0.7026</v>
      </c>
      <c r="K15" s="96">
        <f t="shared" si="1"/>
        <v>69.398289967581135</v>
      </c>
      <c r="L15" s="96">
        <f t="shared" si="0"/>
        <v>91.819622633235142</v>
      </c>
      <c r="M15" s="95">
        <v>0.71097777777777793</v>
      </c>
      <c r="N15" s="97">
        <f t="shared" si="2"/>
        <v>70.205817582360581</v>
      </c>
      <c r="O15" s="97">
        <f t="shared" si="3"/>
        <v>92.999319695337874</v>
      </c>
      <c r="P15" s="89">
        <v>3</v>
      </c>
    </row>
    <row r="16" spans="1:16" s="98" customFormat="1" x14ac:dyDescent="0.3">
      <c r="A16" s="89" t="s">
        <v>121</v>
      </c>
      <c r="B16" s="90" t="s">
        <v>24</v>
      </c>
      <c r="C16" s="91">
        <v>1</v>
      </c>
      <c r="D16" s="91">
        <v>2</v>
      </c>
      <c r="E16" s="91">
        <v>1</v>
      </c>
      <c r="F16" s="91">
        <v>1389</v>
      </c>
      <c r="G16" s="90" t="s">
        <v>54</v>
      </c>
      <c r="H16" s="91">
        <v>13.4</v>
      </c>
      <c r="I16" s="91">
        <v>8.1999999999999993</v>
      </c>
      <c r="J16" s="95">
        <v>0.7026</v>
      </c>
      <c r="K16" s="96">
        <f t="shared" si="1"/>
        <v>58.937688695285289</v>
      </c>
      <c r="L16" s="96">
        <f t="shared" si="0"/>
        <v>90.58122884721314</v>
      </c>
      <c r="M16" s="95">
        <v>0.71097777777777793</v>
      </c>
      <c r="N16" s="97">
        <f t="shared" si="2"/>
        <v>59.623495380074651</v>
      </c>
      <c r="O16" s="97">
        <f t="shared" si="3"/>
        <v>91.745015045502683</v>
      </c>
      <c r="P16" s="89">
        <v>3</v>
      </c>
    </row>
    <row r="17" spans="1:16" s="98" customFormat="1" x14ac:dyDescent="0.3">
      <c r="A17" s="89" t="s">
        <v>121</v>
      </c>
      <c r="B17" s="90" t="s">
        <v>20</v>
      </c>
      <c r="C17" s="91">
        <v>1</v>
      </c>
      <c r="D17" s="91">
        <v>2</v>
      </c>
      <c r="E17" s="91">
        <v>2</v>
      </c>
      <c r="F17" s="91">
        <v>7476</v>
      </c>
      <c r="G17" s="90" t="s">
        <v>54</v>
      </c>
      <c r="H17" s="91">
        <v>15</v>
      </c>
      <c r="I17" s="91">
        <v>11.1</v>
      </c>
      <c r="J17" s="95">
        <v>0.7026</v>
      </c>
      <c r="K17" s="96">
        <f t="shared" si="1"/>
        <v>98.711460849526318</v>
      </c>
      <c r="L17" s="96">
        <f t="shared" si="0"/>
        <v>127.38337262703499</v>
      </c>
      <c r="M17" s="95">
        <v>0.71097777777777793</v>
      </c>
      <c r="N17" s="97">
        <f t="shared" si="2"/>
        <v>99.860080369812053</v>
      </c>
      <c r="O17" s="97">
        <f t="shared" si="3"/>
        <v>129.01999218763922</v>
      </c>
      <c r="P17" s="89">
        <v>3</v>
      </c>
    </row>
    <row r="18" spans="1:16" x14ac:dyDescent="0.3">
      <c r="A18" s="58" t="s">
        <v>122</v>
      </c>
      <c r="B18" s="19" t="s">
        <v>24</v>
      </c>
      <c r="C18" s="22">
        <v>1</v>
      </c>
      <c r="D18" s="22">
        <v>1</v>
      </c>
      <c r="E18" s="22">
        <v>1</v>
      </c>
      <c r="F18" s="22">
        <v>1658</v>
      </c>
      <c r="G18" s="19" t="s">
        <v>57</v>
      </c>
      <c r="H18" s="22">
        <v>13.8</v>
      </c>
      <c r="I18" s="22">
        <v>12.1</v>
      </c>
      <c r="J18" s="82">
        <v>0.35449999999999998</v>
      </c>
      <c r="K18" s="81">
        <f t="shared" si="1"/>
        <v>46.80400446214545</v>
      </c>
      <c r="L18" s="81">
        <f t="shared" si="0"/>
        <v>52.659203914744246</v>
      </c>
      <c r="M18" s="82">
        <v>0.46216666666666661</v>
      </c>
      <c r="N18" s="99">
        <f t="shared" si="2"/>
        <v>60.631877224531344</v>
      </c>
      <c r="O18" s="99">
        <f t="shared" si="3"/>
        <v>70.068966564288928</v>
      </c>
      <c r="P18" s="58">
        <v>4</v>
      </c>
    </row>
    <row r="19" spans="1:16" x14ac:dyDescent="0.3">
      <c r="A19" s="58" t="s">
        <v>122</v>
      </c>
      <c r="B19" s="19" t="s">
        <v>24</v>
      </c>
      <c r="C19" s="22">
        <v>1</v>
      </c>
      <c r="D19" s="22">
        <v>1</v>
      </c>
      <c r="E19" s="22">
        <v>1</v>
      </c>
      <c r="F19" s="22">
        <v>1661</v>
      </c>
      <c r="G19" s="19" t="s">
        <v>57</v>
      </c>
      <c r="H19" s="22">
        <v>17.2</v>
      </c>
      <c r="I19" s="22">
        <v>13.7</v>
      </c>
      <c r="J19" s="82">
        <v>0.35449999999999998</v>
      </c>
      <c r="K19" s="81">
        <f t="shared" si="1"/>
        <v>81.214077560478046</v>
      </c>
      <c r="L19" s="81">
        <f t="shared" si="0"/>
        <v>87.424348967802771</v>
      </c>
      <c r="M19" s="82">
        <v>0.46216666666666661</v>
      </c>
      <c r="N19" s="99">
        <f t="shared" si="2"/>
        <v>105.20813413589593</v>
      </c>
      <c r="O19" s="99">
        <f t="shared" si="3"/>
        <v>116.32788438365536</v>
      </c>
      <c r="P19" s="58">
        <v>4</v>
      </c>
    </row>
    <row r="20" spans="1:16" x14ac:dyDescent="0.3">
      <c r="A20" s="58" t="s">
        <v>122</v>
      </c>
      <c r="B20" s="19" t="s">
        <v>30</v>
      </c>
      <c r="C20" s="22">
        <v>1</v>
      </c>
      <c r="D20" s="22">
        <v>3</v>
      </c>
      <c r="E20" s="22">
        <v>1</v>
      </c>
      <c r="F20" s="22">
        <v>1702</v>
      </c>
      <c r="G20" s="19" t="s">
        <v>57</v>
      </c>
      <c r="H20" s="22">
        <v>10.9</v>
      </c>
      <c r="I20" s="22">
        <v>9.6999999999999993</v>
      </c>
      <c r="J20" s="82">
        <v>0.35449999999999998</v>
      </c>
      <c r="K20" s="81">
        <f t="shared" si="1"/>
        <v>23.800509306824051</v>
      </c>
      <c r="L20" s="81">
        <f t="shared" si="0"/>
        <v>29.693041918049069</v>
      </c>
      <c r="M20" s="82">
        <v>0.46216666666666661</v>
      </c>
      <c r="N20" s="99">
        <f t="shared" si="2"/>
        <v>30.832181450196423</v>
      </c>
      <c r="O20" s="99">
        <f t="shared" si="3"/>
        <v>39.509916722559211</v>
      </c>
      <c r="P20" s="58">
        <v>4</v>
      </c>
    </row>
    <row r="21" spans="1:16" x14ac:dyDescent="0.3">
      <c r="A21" s="58" t="s">
        <v>122</v>
      </c>
      <c r="B21" s="19" t="s">
        <v>20</v>
      </c>
      <c r="C21" s="22">
        <v>2</v>
      </c>
      <c r="D21" s="22">
        <v>2</v>
      </c>
      <c r="E21" s="22">
        <v>1</v>
      </c>
      <c r="F21" s="22">
        <v>309</v>
      </c>
      <c r="G21" s="19" t="s">
        <v>57</v>
      </c>
      <c r="H21" s="22">
        <v>19.899999999999999</v>
      </c>
      <c r="I21" s="22">
        <v>14.3</v>
      </c>
      <c r="J21" s="82">
        <v>0.35449999999999998</v>
      </c>
      <c r="K21" s="81">
        <f t="shared" si="1"/>
        <v>112.56663706577173</v>
      </c>
      <c r="L21" s="81">
        <f t="shared" si="0"/>
        <v>120.66369910103653</v>
      </c>
      <c r="M21" s="82">
        <v>0.46216666666666661</v>
      </c>
      <c r="N21" s="99">
        <f t="shared" si="2"/>
        <v>145.82355925699341</v>
      </c>
      <c r="O21" s="99">
        <f t="shared" si="3"/>
        <v>160.55656123329018</v>
      </c>
      <c r="P21" s="58">
        <v>4</v>
      </c>
    </row>
    <row r="22" spans="1:16" x14ac:dyDescent="0.3">
      <c r="A22" s="58" t="s">
        <v>122</v>
      </c>
      <c r="B22" s="19" t="s">
        <v>20</v>
      </c>
      <c r="C22" s="22">
        <v>2</v>
      </c>
      <c r="D22" s="22">
        <v>2</v>
      </c>
      <c r="E22" s="22">
        <v>2</v>
      </c>
      <c r="F22" s="22">
        <v>339</v>
      </c>
      <c r="G22" s="19" t="s">
        <v>57</v>
      </c>
      <c r="H22" s="22">
        <v>21.1</v>
      </c>
      <c r="I22" s="22">
        <v>9.6999999999999993</v>
      </c>
      <c r="J22" s="82">
        <v>0.35449999999999998</v>
      </c>
      <c r="K22" s="81">
        <f t="shared" si="1"/>
        <v>86.403051228303482</v>
      </c>
      <c r="L22" s="81">
        <f t="shared" si="0"/>
        <v>119.65222016034446</v>
      </c>
      <c r="M22" s="82">
        <v>0.46216666666666661</v>
      </c>
      <c r="N22" s="99">
        <f t="shared" si="2"/>
        <v>111.93014901398992</v>
      </c>
      <c r="O22" s="99">
        <f t="shared" si="3"/>
        <v>159.21067525691691</v>
      </c>
      <c r="P22" s="58">
        <v>4</v>
      </c>
    </row>
    <row r="23" spans="1:16" x14ac:dyDescent="0.3">
      <c r="A23" s="58" t="s">
        <v>122</v>
      </c>
      <c r="B23" s="19" t="s">
        <v>24</v>
      </c>
      <c r="C23" s="22">
        <v>2</v>
      </c>
      <c r="D23" s="22">
        <v>3</v>
      </c>
      <c r="E23" s="22">
        <v>1</v>
      </c>
      <c r="F23" s="22">
        <v>684</v>
      </c>
      <c r="G23" s="19" t="s">
        <v>57</v>
      </c>
      <c r="H23" s="22">
        <v>17.7</v>
      </c>
      <c r="I23" s="22">
        <v>9</v>
      </c>
      <c r="J23" s="82">
        <v>0.35449999999999998</v>
      </c>
      <c r="K23" s="81">
        <f t="shared" si="1"/>
        <v>56.993459463181225</v>
      </c>
      <c r="L23" s="81">
        <f t="shared" si="0"/>
        <v>80.509742259244788</v>
      </c>
      <c r="M23" s="82">
        <v>0.46216666666666661</v>
      </c>
      <c r="N23" s="99">
        <f t="shared" si="2"/>
        <v>73.831726077365332</v>
      </c>
      <c r="O23" s="99">
        <f t="shared" si="3"/>
        <v>107.1272259944483</v>
      </c>
      <c r="P23" s="58">
        <v>4</v>
      </c>
    </row>
    <row r="24" spans="1:16" s="98" customFormat="1" x14ac:dyDescent="0.3">
      <c r="A24" s="89" t="s">
        <v>123</v>
      </c>
      <c r="B24" s="100" t="s">
        <v>30</v>
      </c>
      <c r="C24" s="91">
        <v>1</v>
      </c>
      <c r="D24" s="91">
        <v>3</v>
      </c>
      <c r="E24" s="101">
        <v>1</v>
      </c>
      <c r="F24" s="101">
        <v>1728</v>
      </c>
      <c r="G24" s="100" t="s">
        <v>84</v>
      </c>
      <c r="H24" s="102">
        <v>16.100000000000001</v>
      </c>
      <c r="I24" s="102">
        <v>11.5</v>
      </c>
      <c r="J24" s="95">
        <v>0.371</v>
      </c>
      <c r="K24" s="96">
        <f t="shared" si="1"/>
        <v>62.905584524114374</v>
      </c>
      <c r="L24" s="96">
        <f t="shared" si="0"/>
        <v>75.249092359596943</v>
      </c>
      <c r="M24" s="95">
        <v>0.31090000000000001</v>
      </c>
      <c r="N24" s="97">
        <f t="shared" si="2"/>
        <v>52.939287405069251</v>
      </c>
      <c r="O24" s="97">
        <f t="shared" si="3"/>
        <v>62.206831751091542</v>
      </c>
      <c r="P24" s="89">
        <v>5</v>
      </c>
    </row>
    <row r="25" spans="1:16" s="98" customFormat="1" x14ac:dyDescent="0.3">
      <c r="A25" s="89" t="s">
        <v>123</v>
      </c>
      <c r="B25" s="100" t="s">
        <v>30</v>
      </c>
      <c r="C25" s="91">
        <v>1</v>
      </c>
      <c r="D25" s="91">
        <v>3</v>
      </c>
      <c r="E25" s="101"/>
      <c r="F25" s="101">
        <v>4996</v>
      </c>
      <c r="G25" s="100" t="s">
        <v>84</v>
      </c>
      <c r="H25" s="102">
        <v>17.5</v>
      </c>
      <c r="I25" s="102">
        <v>14</v>
      </c>
      <c r="J25" s="95">
        <v>0.371</v>
      </c>
      <c r="K25" s="96">
        <f t="shared" si="1"/>
        <v>89.692315075487201</v>
      </c>
      <c r="L25" s="96">
        <f t="shared" si="0"/>
        <v>95.930170560329955</v>
      </c>
      <c r="M25" s="95">
        <v>0.31090000000000001</v>
      </c>
      <c r="N25" s="97">
        <f t="shared" si="2"/>
        <v>75.482125819640672</v>
      </c>
      <c r="O25" s="97">
        <f t="shared" si="3"/>
        <v>79.303441314384116</v>
      </c>
      <c r="P25" s="89">
        <v>5</v>
      </c>
    </row>
    <row r="26" spans="1:16" s="98" customFormat="1" x14ac:dyDescent="0.3">
      <c r="A26" s="89" t="s">
        <v>123</v>
      </c>
      <c r="B26" s="100" t="s">
        <v>38</v>
      </c>
      <c r="C26" s="91">
        <v>1</v>
      </c>
      <c r="D26" s="91">
        <v>2</v>
      </c>
      <c r="E26" s="101"/>
      <c r="F26" s="101">
        <v>4999</v>
      </c>
      <c r="G26" s="100" t="s">
        <v>84</v>
      </c>
      <c r="H26" s="102">
        <v>51</v>
      </c>
      <c r="I26" s="102">
        <v>21.4</v>
      </c>
      <c r="J26" s="95">
        <v>0.371</v>
      </c>
      <c r="K26" s="96">
        <f t="shared" si="1"/>
        <v>1094.9261460692223</v>
      </c>
      <c r="L26" s="96">
        <f t="shared" si="0"/>
        <v>1058.7054683614906</v>
      </c>
      <c r="M26" s="95">
        <v>0.31090000000000001</v>
      </c>
      <c r="N26" s="97">
        <f t="shared" si="2"/>
        <v>921.45411846325271</v>
      </c>
      <c r="O26" s="97">
        <f t="shared" si="3"/>
        <v>875.20939959782186</v>
      </c>
      <c r="P26" s="89">
        <v>5</v>
      </c>
    </row>
    <row r="27" spans="1:16" s="98" customFormat="1" x14ac:dyDescent="0.3">
      <c r="A27" s="89" t="s">
        <v>123</v>
      </c>
      <c r="B27" s="100" t="s">
        <v>38</v>
      </c>
      <c r="C27" s="91">
        <v>1</v>
      </c>
      <c r="D27" s="91">
        <v>1</v>
      </c>
      <c r="E27" s="101"/>
      <c r="F27" s="101" t="s">
        <v>102</v>
      </c>
      <c r="G27" s="100" t="s">
        <v>84</v>
      </c>
      <c r="H27" s="102">
        <v>30.2</v>
      </c>
      <c r="I27" s="102">
        <v>13.6</v>
      </c>
      <c r="J27" s="95">
        <v>0.371</v>
      </c>
      <c r="K27" s="96">
        <f t="shared" si="1"/>
        <v>252.94816152977199</v>
      </c>
      <c r="L27" s="96">
        <f t="shared" si="0"/>
        <v>300.38571813701708</v>
      </c>
      <c r="M27" s="95">
        <v>0.31090000000000001</v>
      </c>
      <c r="N27" s="97">
        <f t="shared" si="2"/>
        <v>212.87291936179682</v>
      </c>
      <c r="O27" s="97">
        <f t="shared" si="3"/>
        <v>248.32251450003184</v>
      </c>
      <c r="P27" s="89">
        <v>5</v>
      </c>
    </row>
    <row r="28" spans="1:16" s="98" customFormat="1" x14ac:dyDescent="0.3">
      <c r="A28" s="89" t="s">
        <v>123</v>
      </c>
      <c r="B28" s="100" t="s">
        <v>38</v>
      </c>
      <c r="C28" s="91">
        <v>1</v>
      </c>
      <c r="D28" s="91">
        <v>1</v>
      </c>
      <c r="E28" s="101"/>
      <c r="F28" s="101">
        <v>203</v>
      </c>
      <c r="G28" s="100" t="s">
        <v>84</v>
      </c>
      <c r="H28" s="102">
        <v>21.4</v>
      </c>
      <c r="I28" s="102">
        <v>11.5</v>
      </c>
      <c r="J28" s="95">
        <v>0.371</v>
      </c>
      <c r="K28" s="96">
        <f t="shared" si="1"/>
        <v>109.63084910068493</v>
      </c>
      <c r="L28" s="96">
        <f t="shared" si="0"/>
        <v>137.17397675014229</v>
      </c>
      <c r="M28" s="95">
        <v>0.31090000000000001</v>
      </c>
      <c r="N28" s="97">
        <f t="shared" si="2"/>
        <v>92.261745485857503</v>
      </c>
      <c r="O28" s="97">
        <f t="shared" si="3"/>
        <v>113.39882282627917</v>
      </c>
      <c r="P28" s="89">
        <v>5</v>
      </c>
    </row>
    <row r="29" spans="1:16" x14ac:dyDescent="0.3">
      <c r="A29" s="58" t="s">
        <v>124</v>
      </c>
      <c r="B29" s="19" t="s">
        <v>30</v>
      </c>
      <c r="C29" s="22">
        <v>1</v>
      </c>
      <c r="D29" s="22">
        <v>1</v>
      </c>
      <c r="E29" s="22">
        <v>2</v>
      </c>
      <c r="F29" s="22">
        <v>1322</v>
      </c>
      <c r="G29" s="19" t="s">
        <v>21</v>
      </c>
      <c r="H29" s="22">
        <v>11.9</v>
      </c>
      <c r="I29" s="22">
        <v>10.7</v>
      </c>
      <c r="J29" s="82">
        <v>0.57099999999999995</v>
      </c>
      <c r="K29" s="81">
        <f t="shared" si="1"/>
        <v>49.503754872518869</v>
      </c>
      <c r="L29" s="81">
        <f t="shared" si="0"/>
        <v>61.735840136527941</v>
      </c>
      <c r="M29" s="82">
        <v>0.61499999999999999</v>
      </c>
      <c r="N29" s="99">
        <f t="shared" si="2"/>
        <v>53.223497835180517</v>
      </c>
      <c r="O29" s="99">
        <f t="shared" si="3"/>
        <v>66.874226802049606</v>
      </c>
      <c r="P29" s="58">
        <v>6</v>
      </c>
    </row>
    <row r="30" spans="1:16" x14ac:dyDescent="0.3">
      <c r="A30" s="58" t="s">
        <v>124</v>
      </c>
      <c r="B30" s="19" t="s">
        <v>24</v>
      </c>
      <c r="C30" s="22">
        <v>1</v>
      </c>
      <c r="D30" s="22">
        <v>1</v>
      </c>
      <c r="E30" s="22">
        <v>2</v>
      </c>
      <c r="F30" s="22">
        <v>1681</v>
      </c>
      <c r="G30" s="19" t="s">
        <v>21</v>
      </c>
      <c r="H30" s="22">
        <v>11.2</v>
      </c>
      <c r="I30" s="22">
        <v>9.6</v>
      </c>
      <c r="J30" s="82">
        <v>0.57099999999999995</v>
      </c>
      <c r="K30" s="81">
        <f t="shared" si="1"/>
        <v>39.560539863409133</v>
      </c>
      <c r="L30" s="81">
        <f t="shared" si="0"/>
        <v>52.35582853975199</v>
      </c>
      <c r="M30" s="82">
        <v>0.61499999999999999</v>
      </c>
      <c r="N30" s="99">
        <f t="shared" si="2"/>
        <v>42.533143459539573</v>
      </c>
      <c r="O30" s="99">
        <f t="shared" si="3"/>
        <v>56.713499718050628</v>
      </c>
      <c r="P30" s="58">
        <v>6</v>
      </c>
    </row>
    <row r="31" spans="1:16" x14ac:dyDescent="0.3">
      <c r="A31" s="58" t="s">
        <v>124</v>
      </c>
      <c r="B31" s="19" t="s">
        <v>30</v>
      </c>
      <c r="C31" s="22">
        <v>1</v>
      </c>
      <c r="D31" s="22">
        <v>2</v>
      </c>
      <c r="E31" s="22">
        <v>2</v>
      </c>
      <c r="F31" s="22">
        <v>4971</v>
      </c>
      <c r="G31" s="19" t="s">
        <v>21</v>
      </c>
      <c r="H31" s="22">
        <v>22.2</v>
      </c>
      <c r="I31" s="22">
        <v>20</v>
      </c>
      <c r="J31" s="82">
        <v>0.57099999999999995</v>
      </c>
      <c r="K31" s="81">
        <f t="shared" si="1"/>
        <v>307.87766757742259</v>
      </c>
      <c r="L31" s="81">
        <f t="shared" si="0"/>
        <v>284.64120174113646</v>
      </c>
      <c r="M31" s="82">
        <v>0.61499999999999999</v>
      </c>
      <c r="N31" s="99">
        <f t="shared" si="2"/>
        <v>331.01178720695265</v>
      </c>
      <c r="O31" s="99">
        <f t="shared" si="3"/>
        <v>308.33240853852033</v>
      </c>
      <c r="P31" s="58">
        <v>6</v>
      </c>
    </row>
    <row r="32" spans="1:16" x14ac:dyDescent="0.3">
      <c r="A32" s="58" t="s">
        <v>124</v>
      </c>
      <c r="B32" s="19" t="s">
        <v>30</v>
      </c>
      <c r="C32" s="22">
        <v>2</v>
      </c>
      <c r="D32" s="22">
        <v>1</v>
      </c>
      <c r="E32" s="22">
        <v>2</v>
      </c>
      <c r="F32" s="22">
        <v>95</v>
      </c>
      <c r="G32" s="19" t="s">
        <v>21</v>
      </c>
      <c r="H32" s="22">
        <v>12.9</v>
      </c>
      <c r="I32" s="22">
        <v>19.5</v>
      </c>
      <c r="J32" s="82">
        <v>0.57099999999999995</v>
      </c>
      <c r="K32" s="81">
        <f t="shared" si="1"/>
        <v>104.09666141777346</v>
      </c>
      <c r="L32" s="81">
        <f t="shared" si="0"/>
        <v>89.763307433360907</v>
      </c>
      <c r="M32" s="82">
        <v>0.61499999999999999</v>
      </c>
      <c r="N32" s="99">
        <f t="shared" si="2"/>
        <v>111.91854936834352</v>
      </c>
      <c r="O32" s="99">
        <f t="shared" si="3"/>
        <v>97.234471362590355</v>
      </c>
      <c r="P32" s="58">
        <v>6</v>
      </c>
    </row>
    <row r="33" spans="1:16" x14ac:dyDescent="0.3">
      <c r="A33" s="58" t="s">
        <v>124</v>
      </c>
      <c r="B33" s="19" t="s">
        <v>30</v>
      </c>
      <c r="C33" s="22">
        <v>2</v>
      </c>
      <c r="D33" s="22">
        <v>2</v>
      </c>
      <c r="E33" s="22">
        <v>1</v>
      </c>
      <c r="F33" s="22">
        <v>455</v>
      </c>
      <c r="G33" s="19" t="s">
        <v>21</v>
      </c>
      <c r="H33" s="22">
        <v>22.2</v>
      </c>
      <c r="I33" s="22">
        <v>16.899999999999999</v>
      </c>
      <c r="J33" s="82">
        <v>0.57099999999999995</v>
      </c>
      <c r="K33" s="81">
        <f t="shared" si="1"/>
        <v>261.21032269659219</v>
      </c>
      <c r="L33" s="81">
        <f t="shared" si="0"/>
        <v>268.79986443766484</v>
      </c>
      <c r="M33" s="82">
        <v>0.61499999999999999</v>
      </c>
      <c r="N33" s="99">
        <f t="shared" si="2"/>
        <v>280.83782897621381</v>
      </c>
      <c r="O33" s="99">
        <f t="shared" si="3"/>
        <v>291.17256781492557</v>
      </c>
      <c r="P33" s="58">
        <v>6</v>
      </c>
    </row>
    <row r="34" spans="1:16" x14ac:dyDescent="0.3">
      <c r="A34" s="58" t="s">
        <v>124</v>
      </c>
      <c r="B34" s="19" t="s">
        <v>24</v>
      </c>
      <c r="C34" s="22">
        <v>2</v>
      </c>
      <c r="D34" s="22">
        <v>2</v>
      </c>
      <c r="E34" s="22">
        <v>1</v>
      </c>
      <c r="F34" s="22">
        <v>522</v>
      </c>
      <c r="G34" s="19" t="s">
        <v>21</v>
      </c>
      <c r="H34" s="22">
        <v>16.2</v>
      </c>
      <c r="I34" s="22">
        <v>12.8</v>
      </c>
      <c r="J34" s="82">
        <v>0.57099999999999995</v>
      </c>
      <c r="K34" s="81">
        <f t="shared" si="1"/>
        <v>107.67184244878396</v>
      </c>
      <c r="L34" s="81">
        <f t="shared" si="0"/>
        <v>125.79716680292603</v>
      </c>
      <c r="M34" s="82">
        <v>0.61499999999999999</v>
      </c>
      <c r="N34" s="99">
        <f t="shared" si="2"/>
        <v>115.76237172796827</v>
      </c>
      <c r="O34" s="99">
        <f t="shared" si="3"/>
        <v>136.26749462273165</v>
      </c>
      <c r="P34" s="58">
        <v>6</v>
      </c>
    </row>
    <row r="35" spans="1:16" s="98" customFormat="1" x14ac:dyDescent="0.3">
      <c r="A35" s="89" t="s">
        <v>125</v>
      </c>
      <c r="B35" s="90" t="s">
        <v>30</v>
      </c>
      <c r="C35" s="91">
        <v>1</v>
      </c>
      <c r="D35" s="91">
        <v>1</v>
      </c>
      <c r="E35" s="91">
        <v>2</v>
      </c>
      <c r="F35" s="91">
        <v>1325</v>
      </c>
      <c r="G35" s="90" t="s">
        <v>68</v>
      </c>
      <c r="H35" s="91">
        <v>28.2</v>
      </c>
      <c r="I35" s="91">
        <v>12</v>
      </c>
      <c r="J35" s="95">
        <v>0.377</v>
      </c>
      <c r="K35" s="96">
        <f t="shared" si="1"/>
        <v>198.92592106616885</v>
      </c>
      <c r="L35" s="96">
        <f t="shared" si="0"/>
        <v>253.4618366167787</v>
      </c>
      <c r="M35" s="95">
        <v>0.48499999999999999</v>
      </c>
      <c r="N35" s="97">
        <f t="shared" si="2"/>
        <v>254.37015620684599</v>
      </c>
      <c r="O35" s="97">
        <f t="shared" si="3"/>
        <v>332.45800603008564</v>
      </c>
      <c r="P35" s="89">
        <v>7</v>
      </c>
    </row>
    <row r="36" spans="1:16" s="98" customFormat="1" x14ac:dyDescent="0.3">
      <c r="A36" s="89" t="s">
        <v>125</v>
      </c>
      <c r="B36" s="90" t="s">
        <v>30</v>
      </c>
      <c r="C36" s="91">
        <v>1</v>
      </c>
      <c r="D36" s="91">
        <v>3</v>
      </c>
      <c r="E36" s="91">
        <v>1</v>
      </c>
      <c r="F36" s="91">
        <v>1722</v>
      </c>
      <c r="G36" s="90" t="s">
        <v>68</v>
      </c>
      <c r="H36" s="91">
        <v>17.100000000000001</v>
      </c>
      <c r="I36" s="91">
        <v>18.8</v>
      </c>
      <c r="J36" s="95">
        <v>0.377</v>
      </c>
      <c r="K36" s="96">
        <f t="shared" si="1"/>
        <v>116.12097946512125</v>
      </c>
      <c r="L36" s="96">
        <f t="shared" si="0"/>
        <v>102.75448737428293</v>
      </c>
      <c r="M36" s="95">
        <v>0.48499999999999999</v>
      </c>
      <c r="N36" s="97">
        <f t="shared" si="2"/>
        <v>148.48598677901671</v>
      </c>
      <c r="O36" s="97">
        <f t="shared" si="3"/>
        <v>134.77986445252586</v>
      </c>
      <c r="P36" s="89">
        <v>7</v>
      </c>
    </row>
    <row r="37" spans="1:16" s="98" customFormat="1" x14ac:dyDescent="0.3">
      <c r="A37" s="89" t="s">
        <v>125</v>
      </c>
      <c r="B37" s="90" t="s">
        <v>30</v>
      </c>
      <c r="C37" s="91">
        <v>1</v>
      </c>
      <c r="D37" s="91">
        <v>3</v>
      </c>
      <c r="E37" s="91">
        <v>1</v>
      </c>
      <c r="F37" s="91">
        <v>1724</v>
      </c>
      <c r="G37" s="90" t="s">
        <v>68</v>
      </c>
      <c r="H37" s="91">
        <v>17.3</v>
      </c>
      <c r="I37" s="91">
        <v>17.399999999999999</v>
      </c>
      <c r="J37" s="95">
        <v>0.377</v>
      </c>
      <c r="K37" s="96">
        <f t="shared" si="1"/>
        <v>110.14537900585586</v>
      </c>
      <c r="L37" s="96">
        <f t="shared" si="0"/>
        <v>102.5721260300429</v>
      </c>
      <c r="M37" s="95">
        <v>0.48499999999999999</v>
      </c>
      <c r="N37" s="97">
        <f t="shared" si="2"/>
        <v>140.84487890274625</v>
      </c>
      <c r="O37" s="97">
        <f t="shared" si="3"/>
        <v>134.54066675044874</v>
      </c>
      <c r="P37" s="89">
        <v>7</v>
      </c>
    </row>
    <row r="38" spans="1:16" s="98" customFormat="1" x14ac:dyDescent="0.3">
      <c r="A38" s="89" t="s">
        <v>125</v>
      </c>
      <c r="B38" s="90" t="s">
        <v>30</v>
      </c>
      <c r="C38" s="91">
        <v>1</v>
      </c>
      <c r="D38" s="91">
        <v>3</v>
      </c>
      <c r="E38" s="91">
        <v>1</v>
      </c>
      <c r="F38" s="91">
        <v>1730</v>
      </c>
      <c r="G38" s="90" t="s">
        <v>68</v>
      </c>
      <c r="H38" s="91">
        <v>18.3</v>
      </c>
      <c r="I38" s="91">
        <v>12.5</v>
      </c>
      <c r="J38" s="95">
        <v>0.377</v>
      </c>
      <c r="K38" s="96">
        <f t="shared" si="1"/>
        <v>89.004696143570015</v>
      </c>
      <c r="L38" s="96">
        <f t="shared" si="0"/>
        <v>103.20162579599311</v>
      </c>
      <c r="M38" s="95">
        <v>0.48499999999999999</v>
      </c>
      <c r="N38" s="97">
        <f t="shared" si="2"/>
        <v>113.81190716544167</v>
      </c>
      <c r="O38" s="97">
        <f t="shared" si="3"/>
        <v>135.36636201004964</v>
      </c>
      <c r="P38" s="89">
        <v>7</v>
      </c>
    </row>
    <row r="39" spans="1:16" s="98" customFormat="1" x14ac:dyDescent="0.3">
      <c r="A39" s="89" t="s">
        <v>125</v>
      </c>
      <c r="B39" s="90" t="s">
        <v>30</v>
      </c>
      <c r="C39" s="91">
        <v>1</v>
      </c>
      <c r="D39" s="91">
        <v>3</v>
      </c>
      <c r="E39" s="91">
        <v>2</v>
      </c>
      <c r="F39" s="91">
        <v>1750</v>
      </c>
      <c r="G39" s="90" t="s">
        <v>68</v>
      </c>
      <c r="H39" s="91">
        <v>12.6</v>
      </c>
      <c r="I39" s="91">
        <v>13</v>
      </c>
      <c r="J39" s="95">
        <v>0.377</v>
      </c>
      <c r="K39" s="96">
        <f t="shared" si="1"/>
        <v>44.633016349846223</v>
      </c>
      <c r="L39" s="96">
        <f t="shared" si="0"/>
        <v>47.586956015941325</v>
      </c>
      <c r="M39" s="95">
        <v>0.48499999999999999</v>
      </c>
      <c r="N39" s="97">
        <f t="shared" si="2"/>
        <v>57.07304146208606</v>
      </c>
      <c r="O39" s="97">
        <f t="shared" si="3"/>
        <v>62.418329801741592</v>
      </c>
      <c r="P39" s="89">
        <v>7</v>
      </c>
    </row>
    <row r="40" spans="1:16" s="98" customFormat="1" x14ac:dyDescent="0.3">
      <c r="A40" s="89" t="s">
        <v>125</v>
      </c>
      <c r="B40" s="90" t="s">
        <v>30</v>
      </c>
      <c r="C40" s="91">
        <v>1</v>
      </c>
      <c r="D40" s="91">
        <v>2</v>
      </c>
      <c r="E40" s="91">
        <v>2</v>
      </c>
      <c r="F40" s="91">
        <v>4968</v>
      </c>
      <c r="G40" s="90" t="s">
        <v>68</v>
      </c>
      <c r="H40" s="91">
        <v>26.5</v>
      </c>
      <c r="I40" s="91">
        <v>16.3</v>
      </c>
      <c r="J40" s="95">
        <v>0.377</v>
      </c>
      <c r="K40" s="96">
        <f t="shared" si="1"/>
        <v>237.57200877372765</v>
      </c>
      <c r="L40" s="96">
        <f t="shared" si="0"/>
        <v>246.69361823780497</v>
      </c>
      <c r="M40" s="95">
        <v>0.48499999999999999</v>
      </c>
      <c r="N40" s="97">
        <f t="shared" si="2"/>
        <v>303.78760424110874</v>
      </c>
      <c r="O40" s="97">
        <f t="shared" si="3"/>
        <v>323.58034453798541</v>
      </c>
      <c r="P40" s="89">
        <v>7</v>
      </c>
    </row>
    <row r="41" spans="1:16" x14ac:dyDescent="0.3">
      <c r="A41" s="58" t="s">
        <v>126</v>
      </c>
      <c r="B41" s="19" t="s">
        <v>24</v>
      </c>
      <c r="C41" s="22">
        <v>1</v>
      </c>
      <c r="D41" s="22">
        <v>2</v>
      </c>
      <c r="E41" s="22">
        <v>1</v>
      </c>
      <c r="F41" s="22">
        <v>1374</v>
      </c>
      <c r="G41" s="19" t="s">
        <v>21</v>
      </c>
      <c r="H41" s="22">
        <v>10.9</v>
      </c>
      <c r="I41" s="22">
        <v>8.9</v>
      </c>
      <c r="J41" s="82">
        <v>0.57489999999999997</v>
      </c>
      <c r="K41" s="81">
        <f t="shared" si="1"/>
        <v>35.078283033438332</v>
      </c>
      <c r="L41" s="81">
        <f t="shared" si="0"/>
        <v>48.538810634897985</v>
      </c>
      <c r="M41" s="82">
        <v>0.63</v>
      </c>
      <c r="N41" s="99">
        <f t="shared" si="2"/>
        <v>38.35593826584369</v>
      </c>
      <c r="O41" s="99">
        <f t="shared" si="3"/>
        <v>53.567081559042265</v>
      </c>
      <c r="P41" s="58">
        <v>8</v>
      </c>
    </row>
    <row r="42" spans="1:16" x14ac:dyDescent="0.3">
      <c r="A42" s="58" t="s">
        <v>126</v>
      </c>
      <c r="B42" s="19" t="s">
        <v>30</v>
      </c>
      <c r="C42" s="22">
        <v>1</v>
      </c>
      <c r="D42" s="22">
        <v>3</v>
      </c>
      <c r="E42" s="22">
        <v>2</v>
      </c>
      <c r="F42" s="22">
        <v>1760</v>
      </c>
      <c r="G42" s="19" t="s">
        <v>21</v>
      </c>
      <c r="H42" s="22">
        <v>12.7</v>
      </c>
      <c r="I42" s="22">
        <v>14.6</v>
      </c>
      <c r="J42" s="82">
        <v>0.57489999999999997</v>
      </c>
      <c r="K42" s="81">
        <f t="shared" si="1"/>
        <v>76.632043718221482</v>
      </c>
      <c r="L42" s="81">
        <f t="shared" si="0"/>
        <v>79.292560040027453</v>
      </c>
      <c r="M42" s="82">
        <v>0.63</v>
      </c>
      <c r="N42" s="99">
        <f t="shared" si="2"/>
        <v>83.792411824708239</v>
      </c>
      <c r="O42" s="99">
        <f t="shared" si="3"/>
        <v>87.506697735926807</v>
      </c>
      <c r="P42" s="58">
        <v>8</v>
      </c>
    </row>
    <row r="43" spans="1:16" x14ac:dyDescent="0.3">
      <c r="A43" s="58" t="s">
        <v>126</v>
      </c>
      <c r="B43" s="19" t="s">
        <v>30</v>
      </c>
      <c r="C43" s="22">
        <v>1</v>
      </c>
      <c r="D43" s="22">
        <v>3</v>
      </c>
      <c r="E43" s="22">
        <v>2</v>
      </c>
      <c r="F43" s="22">
        <v>1762</v>
      </c>
      <c r="G43" s="19" t="s">
        <v>21</v>
      </c>
      <c r="H43" s="22">
        <v>13.6</v>
      </c>
      <c r="I43" s="22">
        <v>16.100000000000001</v>
      </c>
      <c r="J43" s="82">
        <v>0.57489999999999997</v>
      </c>
      <c r="K43" s="81">
        <f t="shared" si="1"/>
        <v>96.362300955539439</v>
      </c>
      <c r="L43" s="81">
        <f t="shared" si="0"/>
        <v>94.714072784475405</v>
      </c>
      <c r="M43" s="82">
        <v>0.63</v>
      </c>
      <c r="N43" s="99">
        <f t="shared" si="2"/>
        <v>105.36623081243873</v>
      </c>
      <c r="O43" s="99">
        <f t="shared" si="3"/>
        <v>104.52576804564968</v>
      </c>
      <c r="P43" s="58">
        <v>8</v>
      </c>
    </row>
    <row r="44" spans="1:16" x14ac:dyDescent="0.3">
      <c r="A44" s="58" t="s">
        <v>126</v>
      </c>
      <c r="B44" s="19" t="s">
        <v>24</v>
      </c>
      <c r="C44" s="22">
        <v>2</v>
      </c>
      <c r="D44" s="22">
        <v>3</v>
      </c>
      <c r="E44" s="22">
        <v>1</v>
      </c>
      <c r="F44" s="22">
        <v>682</v>
      </c>
      <c r="G44" s="19" t="s">
        <v>21</v>
      </c>
      <c r="H44" s="22">
        <v>10.6</v>
      </c>
      <c r="I44" s="22">
        <v>7.7</v>
      </c>
      <c r="J44" s="82">
        <v>0.57489999999999997</v>
      </c>
      <c r="K44" s="81">
        <f t="shared" si="1"/>
        <v>28.839594802021992</v>
      </c>
      <c r="L44" s="81">
        <f t="shared" si="0"/>
        <v>43.564109380445437</v>
      </c>
      <c r="M44" s="82">
        <v>0.63</v>
      </c>
      <c r="N44" s="99">
        <f t="shared" si="2"/>
        <v>31.534317594274718</v>
      </c>
      <c r="O44" s="99">
        <f t="shared" si="3"/>
        <v>48.077037111238305</v>
      </c>
      <c r="P44" s="58">
        <v>8</v>
      </c>
    </row>
    <row r="45" spans="1:16" x14ac:dyDescent="0.3">
      <c r="A45" s="58" t="s">
        <v>126</v>
      </c>
      <c r="B45" s="19" t="s">
        <v>30</v>
      </c>
      <c r="C45" s="22">
        <v>2</v>
      </c>
      <c r="D45" s="22">
        <v>2</v>
      </c>
      <c r="E45" s="22">
        <v>2</v>
      </c>
      <c r="F45" s="22">
        <v>463</v>
      </c>
      <c r="G45" s="19" t="s">
        <v>21</v>
      </c>
      <c r="H45" s="22">
        <v>13.8</v>
      </c>
      <c r="I45" s="22">
        <v>12.8</v>
      </c>
      <c r="J45" s="82">
        <v>0.57489999999999997</v>
      </c>
      <c r="K45" s="81">
        <f t="shared" si="1"/>
        <v>79.260729375409127</v>
      </c>
      <c r="L45" s="81">
        <f t="shared" si="0"/>
        <v>90.348902107682335</v>
      </c>
      <c r="M45" s="82">
        <v>0.63</v>
      </c>
      <c r="N45" s="99">
        <f t="shared" si="2"/>
        <v>86.66671740834478</v>
      </c>
      <c r="O45" s="99">
        <f t="shared" si="3"/>
        <v>99.708397149981352</v>
      </c>
      <c r="P45" s="58">
        <v>8</v>
      </c>
    </row>
    <row r="46" spans="1:16" x14ac:dyDescent="0.3">
      <c r="A46" s="58" t="s">
        <v>126</v>
      </c>
      <c r="B46" s="19" t="s">
        <v>24</v>
      </c>
      <c r="C46" s="22">
        <v>2</v>
      </c>
      <c r="D46" s="22">
        <v>3</v>
      </c>
      <c r="E46" s="22">
        <v>1</v>
      </c>
      <c r="F46" s="22">
        <v>676</v>
      </c>
      <c r="G46" s="19" t="s">
        <v>21</v>
      </c>
      <c r="H46" s="22">
        <v>12.1</v>
      </c>
      <c r="I46" s="22">
        <v>7.7</v>
      </c>
      <c r="J46" s="82">
        <v>0.57489999999999997</v>
      </c>
      <c r="K46" s="81">
        <f t="shared" si="1"/>
        <v>37.34127546813616</v>
      </c>
      <c r="L46" s="81">
        <f t="shared" si="0"/>
        <v>57.598423333326316</v>
      </c>
      <c r="M46" s="82">
        <v>0.63</v>
      </c>
      <c r="N46" s="99">
        <f t="shared" si="2"/>
        <v>40.830380872929098</v>
      </c>
      <c r="O46" s="99">
        <f t="shared" si="3"/>
        <v>63.565204833227561</v>
      </c>
      <c r="P46" s="58">
        <v>8</v>
      </c>
    </row>
    <row r="47" spans="1:16" s="98" customFormat="1" x14ac:dyDescent="0.3">
      <c r="A47" s="89" t="s">
        <v>127</v>
      </c>
      <c r="B47" s="90" t="s">
        <v>30</v>
      </c>
      <c r="C47" s="91">
        <v>1</v>
      </c>
      <c r="D47" s="91">
        <v>3</v>
      </c>
      <c r="E47" s="91">
        <v>2</v>
      </c>
      <c r="F47" s="91">
        <v>1754</v>
      </c>
      <c r="G47" s="90" t="s">
        <v>37</v>
      </c>
      <c r="H47" s="91">
        <v>21.1</v>
      </c>
      <c r="I47" s="91">
        <v>16</v>
      </c>
      <c r="J47" s="95">
        <v>0.43030000000000002</v>
      </c>
      <c r="K47" s="96">
        <f t="shared" si="1"/>
        <v>170.13605318050145</v>
      </c>
      <c r="L47" s="96">
        <f t="shared" si="0"/>
        <v>174.76490113326506</v>
      </c>
      <c r="M47" s="95">
        <v>0.49666666666666665</v>
      </c>
      <c r="N47" s="97">
        <f t="shared" si="2"/>
        <v>195.70186904799075</v>
      </c>
      <c r="O47" s="97">
        <f t="shared" si="3"/>
        <v>203.95976158928934</v>
      </c>
      <c r="P47" s="89">
        <v>9</v>
      </c>
    </row>
    <row r="48" spans="1:16" s="98" customFormat="1" x14ac:dyDescent="0.3">
      <c r="A48" s="89" t="s">
        <v>127</v>
      </c>
      <c r="B48" s="90" t="s">
        <v>38</v>
      </c>
      <c r="C48" s="91">
        <v>1</v>
      </c>
      <c r="D48" s="91">
        <v>2</v>
      </c>
      <c r="E48" s="91">
        <v>2</v>
      </c>
      <c r="F48" s="91">
        <v>1999</v>
      </c>
      <c r="G48" s="90" t="s">
        <v>37</v>
      </c>
      <c r="H48" s="91">
        <v>18.100000000000001</v>
      </c>
      <c r="I48" s="91">
        <v>13.3</v>
      </c>
      <c r="J48" s="95">
        <v>0.43030000000000002</v>
      </c>
      <c r="K48" s="96">
        <f t="shared" si="1"/>
        <v>105.30371132379211</v>
      </c>
      <c r="L48" s="96">
        <f t="shared" si="0"/>
        <v>118.74868027504617</v>
      </c>
      <c r="M48" s="95">
        <v>0.49666666666666665</v>
      </c>
      <c r="N48" s="97">
        <f t="shared" si="2"/>
        <v>121.12737270267188</v>
      </c>
      <c r="O48" s="97">
        <f t="shared" si="3"/>
        <v>138.58590804495981</v>
      </c>
      <c r="P48" s="89">
        <v>9</v>
      </c>
    </row>
    <row r="49" spans="1:16" s="98" customFormat="1" x14ac:dyDescent="0.3">
      <c r="A49" s="89" t="s">
        <v>127</v>
      </c>
      <c r="B49" s="90" t="s">
        <v>30</v>
      </c>
      <c r="C49" s="91">
        <v>1</v>
      </c>
      <c r="D49" s="91">
        <v>2</v>
      </c>
      <c r="E49" s="91">
        <v>2</v>
      </c>
      <c r="F49" s="91">
        <v>4973</v>
      </c>
      <c r="G49" s="90" t="s">
        <v>37</v>
      </c>
      <c r="H49" s="91">
        <v>16</v>
      </c>
      <c r="I49" s="91">
        <v>13.6</v>
      </c>
      <c r="J49" s="95">
        <v>0.43030000000000002</v>
      </c>
      <c r="K49" s="96">
        <f t="shared" si="1"/>
        <v>84.59643831230035</v>
      </c>
      <c r="L49" s="96">
        <f t="shared" si="0"/>
        <v>92.238840102781936</v>
      </c>
      <c r="M49" s="95">
        <v>0.49666666666666665</v>
      </c>
      <c r="N49" s="97">
        <f t="shared" si="2"/>
        <v>97.30848214138318</v>
      </c>
      <c r="O49" s="97">
        <f t="shared" si="3"/>
        <v>107.6475408657161</v>
      </c>
      <c r="P49" s="89">
        <v>9</v>
      </c>
    </row>
    <row r="50" spans="1:16" s="98" customFormat="1" x14ac:dyDescent="0.3">
      <c r="A50" s="89" t="s">
        <v>127</v>
      </c>
      <c r="B50" s="90" t="s">
        <v>30</v>
      </c>
      <c r="C50" s="91">
        <v>2</v>
      </c>
      <c r="D50" s="91">
        <v>1</v>
      </c>
      <c r="E50" s="91">
        <v>2</v>
      </c>
      <c r="F50" s="91">
        <v>105</v>
      </c>
      <c r="G50" s="90" t="s">
        <v>37</v>
      </c>
      <c r="H50" s="91">
        <v>14.3</v>
      </c>
      <c r="I50" s="91">
        <v>13</v>
      </c>
      <c r="J50" s="95">
        <v>0.43030000000000002</v>
      </c>
      <c r="K50" s="96">
        <f t="shared" si="1"/>
        <v>65.01305211427146</v>
      </c>
      <c r="L50" s="96">
        <f t="shared" si="0"/>
        <v>71.666669057263164</v>
      </c>
      <c r="M50" s="95">
        <v>0.49666666666666665</v>
      </c>
      <c r="N50" s="97">
        <f t="shared" si="2"/>
        <v>74.782361371572634</v>
      </c>
      <c r="O50" s="97">
        <f t="shared" si="3"/>
        <v>83.638743477855286</v>
      </c>
      <c r="P50" s="89">
        <v>9</v>
      </c>
    </row>
    <row r="51" spans="1:16" s="98" customFormat="1" x14ac:dyDescent="0.3">
      <c r="A51" s="89" t="s">
        <v>127</v>
      </c>
      <c r="B51" s="90" t="s">
        <v>30</v>
      </c>
      <c r="C51" s="91">
        <v>2</v>
      </c>
      <c r="D51" s="91">
        <v>2</v>
      </c>
      <c r="E51" s="91">
        <v>1</v>
      </c>
      <c r="F51" s="91">
        <v>456</v>
      </c>
      <c r="G51" s="90" t="s">
        <v>37</v>
      </c>
      <c r="H51" s="91">
        <v>23.3</v>
      </c>
      <c r="I51" s="91">
        <v>14</v>
      </c>
      <c r="J51" s="95">
        <v>0.43030000000000002</v>
      </c>
      <c r="K51" s="96">
        <f t="shared" si="1"/>
        <v>181.24899980650608</v>
      </c>
      <c r="L51" s="96">
        <f t="shared" si="0"/>
        <v>205.88370087854184</v>
      </c>
      <c r="M51" s="95">
        <v>0.49666666666666665</v>
      </c>
      <c r="N51" s="97">
        <f t="shared" si="2"/>
        <v>208.48472362045695</v>
      </c>
      <c r="O51" s="97">
        <f t="shared" si="3"/>
        <v>240.2770251578572</v>
      </c>
      <c r="P51" s="89">
        <v>9</v>
      </c>
    </row>
    <row r="52" spans="1:16" s="98" customFormat="1" x14ac:dyDescent="0.3">
      <c r="A52" s="89" t="s">
        <v>127</v>
      </c>
      <c r="B52" s="90" t="s">
        <v>24</v>
      </c>
      <c r="C52" s="91">
        <v>2</v>
      </c>
      <c r="D52" s="91">
        <v>2</v>
      </c>
      <c r="E52" s="91">
        <v>1</v>
      </c>
      <c r="F52" s="91">
        <v>510</v>
      </c>
      <c r="G52" s="90" t="s">
        <v>37</v>
      </c>
      <c r="H52" s="91">
        <v>12</v>
      </c>
      <c r="I52" s="91">
        <v>8.1999999999999993</v>
      </c>
      <c r="J52" s="95">
        <v>0.43030000000000002</v>
      </c>
      <c r="K52" s="96">
        <f t="shared" si="1"/>
        <v>29.44557301786709</v>
      </c>
      <c r="L52" s="96">
        <f t="shared" si="0"/>
        <v>42.323987730759164</v>
      </c>
      <c r="M52" s="95">
        <v>0.49666666666666665</v>
      </c>
      <c r="N52" s="97">
        <f t="shared" si="2"/>
        <v>33.870267747847969</v>
      </c>
      <c r="O52" s="97">
        <f t="shared" si="3"/>
        <v>49.394302809642056</v>
      </c>
      <c r="P52" s="89">
        <v>9</v>
      </c>
    </row>
    <row r="53" spans="1:16" x14ac:dyDescent="0.3">
      <c r="A53" s="58" t="s">
        <v>128</v>
      </c>
      <c r="B53" s="19" t="s">
        <v>30</v>
      </c>
      <c r="C53" s="22">
        <v>1</v>
      </c>
      <c r="D53" s="22">
        <v>3</v>
      </c>
      <c r="E53" s="22">
        <v>1</v>
      </c>
      <c r="F53" s="22">
        <v>1713</v>
      </c>
      <c r="G53" s="19" t="s">
        <v>21</v>
      </c>
      <c r="H53" s="22">
        <v>10.199999999999999</v>
      </c>
      <c r="I53" s="22">
        <v>13.8</v>
      </c>
      <c r="J53" s="82">
        <v>0.69430000000000003</v>
      </c>
      <c r="K53" s="81">
        <f t="shared" si="1"/>
        <v>56.842689869989293</v>
      </c>
      <c r="L53" s="81">
        <f t="shared" si="0"/>
        <v>60.020173968255463</v>
      </c>
      <c r="M53" s="82">
        <v>0.93666666666666665</v>
      </c>
      <c r="N53" s="99">
        <f t="shared" si="2"/>
        <v>76.136272632962999</v>
      </c>
      <c r="O53" s="99">
        <f t="shared" si="3"/>
        <v>82.86059892802497</v>
      </c>
      <c r="P53" s="58">
        <v>10</v>
      </c>
    </row>
    <row r="54" spans="1:16" x14ac:dyDescent="0.3">
      <c r="A54" s="58" t="s">
        <v>128</v>
      </c>
      <c r="B54" s="19" t="s">
        <v>30</v>
      </c>
      <c r="C54" s="22">
        <v>1</v>
      </c>
      <c r="D54" s="22">
        <v>3</v>
      </c>
      <c r="E54" s="22">
        <v>2</v>
      </c>
      <c r="F54" s="22">
        <v>1740</v>
      </c>
      <c r="G54" s="19" t="s">
        <v>21</v>
      </c>
      <c r="H54" s="22">
        <v>13</v>
      </c>
      <c r="I54" s="22">
        <v>16.899999999999999</v>
      </c>
      <c r="J54" s="82">
        <v>0.69430000000000003</v>
      </c>
      <c r="K54" s="81">
        <f t="shared" si="1"/>
        <v>111.22436755048049</v>
      </c>
      <c r="L54" s="81">
        <f t="shared" si="0"/>
        <v>107.27387063481073</v>
      </c>
      <c r="M54" s="82">
        <v>0.93666666666666665</v>
      </c>
      <c r="N54" s="99">
        <f t="shared" si="2"/>
        <v>148.97621471856411</v>
      </c>
      <c r="O54" s="99">
        <f t="shared" si="3"/>
        <v>148.09649127023758</v>
      </c>
      <c r="P54" s="58">
        <v>10</v>
      </c>
    </row>
    <row r="55" spans="1:16" x14ac:dyDescent="0.3">
      <c r="A55" s="58" t="s">
        <v>128</v>
      </c>
      <c r="B55" s="19" t="s">
        <v>30</v>
      </c>
      <c r="C55" s="22">
        <v>1</v>
      </c>
      <c r="D55" s="22">
        <v>3</v>
      </c>
      <c r="E55" s="22">
        <v>2</v>
      </c>
      <c r="F55" s="22">
        <v>1742</v>
      </c>
      <c r="G55" s="19" t="s">
        <v>21</v>
      </c>
      <c r="H55" s="22">
        <v>15.6</v>
      </c>
      <c r="I55" s="22">
        <v>15.5</v>
      </c>
      <c r="J55" s="82">
        <v>0.69430000000000003</v>
      </c>
      <c r="K55" s="81">
        <f t="shared" si="1"/>
        <v>145.91772532085335</v>
      </c>
      <c r="L55" s="81">
        <f t="shared" si="0"/>
        <v>153.03743498640085</v>
      </c>
      <c r="M55" s="82">
        <v>0.93666666666666665</v>
      </c>
      <c r="N55" s="99">
        <f t="shared" si="2"/>
        <v>195.44521454597398</v>
      </c>
      <c r="O55" s="99">
        <f t="shared" si="3"/>
        <v>211.27518770753127</v>
      </c>
      <c r="P55" s="58">
        <v>10</v>
      </c>
    </row>
    <row r="56" spans="1:16" x14ac:dyDescent="0.3">
      <c r="A56" s="58" t="s">
        <v>128</v>
      </c>
      <c r="B56" s="19" t="s">
        <v>30</v>
      </c>
      <c r="C56" s="22">
        <v>2</v>
      </c>
      <c r="D56" s="22">
        <v>1</v>
      </c>
      <c r="E56" s="22">
        <v>2</v>
      </c>
      <c r="F56" s="22">
        <v>101</v>
      </c>
      <c r="G56" s="19" t="s">
        <v>21</v>
      </c>
      <c r="H56" s="22">
        <v>14</v>
      </c>
      <c r="I56" s="22">
        <v>14.2</v>
      </c>
      <c r="J56" s="82">
        <v>0.69430000000000003</v>
      </c>
      <c r="K56" s="81">
        <f t="shared" si="1"/>
        <v>108.45271966552116</v>
      </c>
      <c r="L56" s="81">
        <f t="shared" si="0"/>
        <v>118.22251402507948</v>
      </c>
      <c r="M56" s="82">
        <v>0.93666666666666665</v>
      </c>
      <c r="N56" s="99">
        <f t="shared" si="2"/>
        <v>145.26381230596729</v>
      </c>
      <c r="O56" s="99">
        <f t="shared" si="3"/>
        <v>163.21159488934492</v>
      </c>
      <c r="P56" s="58">
        <v>10</v>
      </c>
    </row>
    <row r="57" spans="1:16" x14ac:dyDescent="0.3">
      <c r="A57" s="58" t="s">
        <v>128</v>
      </c>
      <c r="B57" s="19" t="s">
        <v>30</v>
      </c>
      <c r="C57" s="22">
        <v>2</v>
      </c>
      <c r="D57" s="22">
        <v>2</v>
      </c>
      <c r="E57" s="22">
        <v>2</v>
      </c>
      <c r="F57" s="22">
        <v>474</v>
      </c>
      <c r="G57" s="19" t="s">
        <v>21</v>
      </c>
      <c r="H57" s="22">
        <v>10.7</v>
      </c>
      <c r="I57" s="22">
        <v>12.3</v>
      </c>
      <c r="J57" s="82">
        <v>0.69430000000000003</v>
      </c>
      <c r="K57" s="81">
        <f t="shared" si="1"/>
        <v>55.778858246302377</v>
      </c>
      <c r="L57" s="81">
        <f t="shared" si="0"/>
        <v>63.849794951941874</v>
      </c>
      <c r="M57" s="82">
        <v>0.93666666666666665</v>
      </c>
      <c r="N57" s="99">
        <f t="shared" si="2"/>
        <v>74.711354587707831</v>
      </c>
      <c r="O57" s="99">
        <f t="shared" si="3"/>
        <v>88.147566082492403</v>
      </c>
      <c r="P57" s="58">
        <v>10</v>
      </c>
    </row>
    <row r="58" spans="1:16" x14ac:dyDescent="0.3">
      <c r="A58" s="58" t="s">
        <v>128</v>
      </c>
      <c r="B58" s="19" t="s">
        <v>30</v>
      </c>
      <c r="C58" s="22">
        <v>2</v>
      </c>
      <c r="D58" s="22">
        <v>2</v>
      </c>
      <c r="E58" s="22">
        <v>2</v>
      </c>
      <c r="F58" s="22">
        <v>480</v>
      </c>
      <c r="G58" s="19" t="s">
        <v>21</v>
      </c>
      <c r="H58" s="22">
        <v>18.3</v>
      </c>
      <c r="I58" s="22">
        <v>12.8</v>
      </c>
      <c r="J58" s="82">
        <v>0.69430000000000003</v>
      </c>
      <c r="K58" s="81">
        <f t="shared" si="1"/>
        <v>165.31282786192844</v>
      </c>
      <c r="L58" s="81">
        <f t="shared" si="0"/>
        <v>200.82380302585929</v>
      </c>
      <c r="M58" s="82">
        <v>0.93666666666666665</v>
      </c>
      <c r="N58" s="99">
        <f t="shared" si="2"/>
        <v>221.42341540502929</v>
      </c>
      <c r="O58" s="99">
        <f t="shared" si="3"/>
        <v>277.24645727497347</v>
      </c>
      <c r="P58" s="58">
        <v>10</v>
      </c>
    </row>
    <row r="59" spans="1:16" s="98" customFormat="1" x14ac:dyDescent="0.3">
      <c r="A59" s="89" t="s">
        <v>129</v>
      </c>
      <c r="B59" s="100" t="s">
        <v>20</v>
      </c>
      <c r="C59" s="101">
        <v>1</v>
      </c>
      <c r="D59" s="101">
        <v>1</v>
      </c>
      <c r="E59" s="101">
        <v>2</v>
      </c>
      <c r="F59" s="101">
        <v>2012</v>
      </c>
      <c r="G59" s="100" t="s">
        <v>21</v>
      </c>
      <c r="H59" s="102">
        <v>10.4</v>
      </c>
      <c r="I59" s="102">
        <v>8.9</v>
      </c>
      <c r="J59" s="95">
        <v>0.32679999999999998</v>
      </c>
      <c r="K59" s="96">
        <f t="shared" si="1"/>
        <v>18.442002125167303</v>
      </c>
      <c r="L59" s="96">
        <f t="shared" si="0"/>
        <v>23.925466522783768</v>
      </c>
      <c r="M59" s="95">
        <v>0.38347999999999999</v>
      </c>
      <c r="N59" s="97">
        <f t="shared" si="2"/>
        <v>21.557663195320281</v>
      </c>
      <c r="O59" s="97">
        <f t="shared" si="3"/>
        <v>28.422976587865527</v>
      </c>
      <c r="P59" s="89">
        <v>11</v>
      </c>
    </row>
    <row r="60" spans="1:16" s="98" customFormat="1" x14ac:dyDescent="0.3">
      <c r="A60" s="89" t="s">
        <v>129</v>
      </c>
      <c r="B60" s="100" t="s">
        <v>24</v>
      </c>
      <c r="C60" s="101">
        <v>1</v>
      </c>
      <c r="D60" s="101">
        <v>3</v>
      </c>
      <c r="E60" s="101">
        <v>2</v>
      </c>
      <c r="F60" s="101">
        <v>1269</v>
      </c>
      <c r="G60" s="100" t="s">
        <v>21</v>
      </c>
      <c r="H60" s="102">
        <v>18.8</v>
      </c>
      <c r="I60" s="102">
        <v>10.3</v>
      </c>
      <c r="J60" s="95">
        <v>0.32679999999999998</v>
      </c>
      <c r="K60" s="96">
        <f t="shared" si="1"/>
        <v>67.552215333143138</v>
      </c>
      <c r="L60" s="96">
        <f t="shared" si="0"/>
        <v>87.693051964534448</v>
      </c>
      <c r="M60" s="95">
        <v>0.38347999999999999</v>
      </c>
      <c r="N60" s="97">
        <f t="shared" si="2"/>
        <v>78.964740181995765</v>
      </c>
      <c r="O60" s="97">
        <f t="shared" si="3"/>
        <v>104.17759505474551</v>
      </c>
      <c r="P60" s="89">
        <v>11</v>
      </c>
    </row>
    <row r="61" spans="1:16" s="98" customFormat="1" x14ac:dyDescent="0.3">
      <c r="A61" s="89" t="s">
        <v>129</v>
      </c>
      <c r="B61" s="100" t="s">
        <v>24</v>
      </c>
      <c r="C61" s="101">
        <v>1</v>
      </c>
      <c r="D61" s="101">
        <v>1</v>
      </c>
      <c r="E61" s="101">
        <v>2</v>
      </c>
      <c r="F61" s="101">
        <v>1695</v>
      </c>
      <c r="G61" s="100" t="s">
        <v>21</v>
      </c>
      <c r="H61" s="102">
        <v>25.8</v>
      </c>
      <c r="I61" s="102">
        <v>16</v>
      </c>
      <c r="J61" s="95">
        <v>0.32679999999999998</v>
      </c>
      <c r="K61" s="96">
        <f t="shared" si="1"/>
        <v>192.60036775864683</v>
      </c>
      <c r="L61" s="96">
        <f t="shared" si="0"/>
        <v>198.63045633225872</v>
      </c>
      <c r="M61" s="95">
        <v>0.38347999999999999</v>
      </c>
      <c r="N61" s="97">
        <f t="shared" si="2"/>
        <v>225.13899690801975</v>
      </c>
      <c r="O61" s="97">
        <f t="shared" si="3"/>
        <v>235.96901672084729</v>
      </c>
      <c r="P61" s="89">
        <v>11</v>
      </c>
    </row>
    <row r="62" spans="1:16" s="98" customFormat="1" x14ac:dyDescent="0.3">
      <c r="A62" s="89" t="s">
        <v>129</v>
      </c>
      <c r="B62" s="100" t="s">
        <v>26</v>
      </c>
      <c r="C62" s="101">
        <v>2</v>
      </c>
      <c r="D62" s="101">
        <v>2</v>
      </c>
      <c r="E62" s="101">
        <v>1</v>
      </c>
      <c r="F62" s="101">
        <v>492</v>
      </c>
      <c r="G62" s="100" t="s">
        <v>21</v>
      </c>
      <c r="H62" s="102">
        <v>14.5</v>
      </c>
      <c r="I62" s="102">
        <v>8.3000000000000007</v>
      </c>
      <c r="J62" s="95">
        <v>0.32679999999999998</v>
      </c>
      <c r="K62" s="96">
        <f t="shared" si="1"/>
        <v>32.958307506017931</v>
      </c>
      <c r="L62" s="96">
        <f t="shared" si="0"/>
        <v>47.108633079976258</v>
      </c>
      <c r="M62" s="95">
        <v>0.38347999999999999</v>
      </c>
      <c r="N62" s="97">
        <f t="shared" si="2"/>
        <v>38.526407701305118</v>
      </c>
      <c r="O62" s="97">
        <f t="shared" si="3"/>
        <v>55.964115635673778</v>
      </c>
      <c r="P62" s="89">
        <v>11</v>
      </c>
    </row>
    <row r="63" spans="1:16" s="98" customFormat="1" x14ac:dyDescent="0.3">
      <c r="A63" s="89" t="s">
        <v>129</v>
      </c>
      <c r="B63" s="100" t="s">
        <v>20</v>
      </c>
      <c r="C63" s="101">
        <v>2</v>
      </c>
      <c r="D63" s="101">
        <v>2</v>
      </c>
      <c r="E63" s="101">
        <v>2</v>
      </c>
      <c r="F63" s="101">
        <v>332</v>
      </c>
      <c r="G63" s="100" t="s">
        <v>21</v>
      </c>
      <c r="H63" s="102">
        <v>25.2</v>
      </c>
      <c r="I63" s="102">
        <v>10.4</v>
      </c>
      <c r="J63" s="95">
        <v>0.32679999999999998</v>
      </c>
      <c r="K63" s="96">
        <f t="shared" si="1"/>
        <v>120.81274099524286</v>
      </c>
      <c r="L63" s="96">
        <f t="shared" si="0"/>
        <v>163.2578012243176</v>
      </c>
      <c r="M63" s="95">
        <v>0.38347999999999999</v>
      </c>
      <c r="N63" s="97">
        <f t="shared" si="2"/>
        <v>141.22329898903433</v>
      </c>
      <c r="O63" s="97">
        <f t="shared" si="3"/>
        <v>193.94700862222851</v>
      </c>
      <c r="P63" s="89">
        <v>11</v>
      </c>
    </row>
    <row r="64" spans="1:16" s="98" customFormat="1" x14ac:dyDescent="0.3">
      <c r="A64" s="89" t="s">
        <v>129</v>
      </c>
      <c r="B64" s="100" t="s">
        <v>20</v>
      </c>
      <c r="C64" s="101">
        <v>2</v>
      </c>
      <c r="D64" s="101">
        <v>3</v>
      </c>
      <c r="E64" s="101">
        <v>1</v>
      </c>
      <c r="F64" s="101">
        <v>715</v>
      </c>
      <c r="G64" s="100" t="s">
        <v>21</v>
      </c>
      <c r="H64" s="102">
        <v>26.2</v>
      </c>
      <c r="I64" s="102">
        <v>9.4</v>
      </c>
      <c r="J64" s="95">
        <v>0.32679999999999998</v>
      </c>
      <c r="K64" s="96">
        <f t="shared" si="1"/>
        <v>118.10036741008116</v>
      </c>
      <c r="L64" s="96">
        <f t="shared" si="0"/>
        <v>171.24056873480063</v>
      </c>
      <c r="M64" s="95">
        <v>0.38347999999999999</v>
      </c>
      <c r="N64" s="97">
        <f t="shared" si="2"/>
        <v>138.05268682816686</v>
      </c>
      <c r="O64" s="97">
        <f t="shared" si="3"/>
        <v>203.43037705898462</v>
      </c>
      <c r="P64" s="89">
        <v>11</v>
      </c>
    </row>
    <row r="65" spans="1:16" x14ac:dyDescent="0.3">
      <c r="A65" s="58" t="s">
        <v>85</v>
      </c>
      <c r="B65" s="7" t="s">
        <v>30</v>
      </c>
      <c r="C65" s="16">
        <v>1</v>
      </c>
      <c r="D65" s="16">
        <v>1</v>
      </c>
      <c r="E65" s="16">
        <v>2</v>
      </c>
      <c r="F65" s="16">
        <v>1323</v>
      </c>
      <c r="G65" s="7" t="s">
        <v>86</v>
      </c>
      <c r="H65" s="21">
        <v>22.3</v>
      </c>
      <c r="I65" s="21">
        <v>14</v>
      </c>
      <c r="J65" s="82">
        <v>0.53669999999999995</v>
      </c>
      <c r="K65" s="81">
        <f t="shared" si="1"/>
        <v>206.41685496690599</v>
      </c>
      <c r="L65" s="81">
        <f t="shared" si="0"/>
        <v>238.10769036272762</v>
      </c>
      <c r="M65" s="82">
        <v>0.4</v>
      </c>
      <c r="N65" s="99">
        <f t="shared" si="2"/>
        <v>154.93076712562222</v>
      </c>
      <c r="O65" s="99">
        <f t="shared" si="3"/>
        <v>173.4886649242751</v>
      </c>
      <c r="P65" s="58">
        <v>12</v>
      </c>
    </row>
    <row r="66" spans="1:16" x14ac:dyDescent="0.3">
      <c r="A66" s="58" t="s">
        <v>85</v>
      </c>
      <c r="B66" s="7" t="s">
        <v>30</v>
      </c>
      <c r="C66" s="16">
        <v>1</v>
      </c>
      <c r="D66" s="16">
        <v>3</v>
      </c>
      <c r="E66" s="16">
        <v>1</v>
      </c>
      <c r="F66" s="16">
        <v>1720</v>
      </c>
      <c r="G66" s="7" t="s">
        <v>86</v>
      </c>
      <c r="H66" s="21">
        <v>24.6</v>
      </c>
      <c r="I66" s="21">
        <v>17.399999999999999</v>
      </c>
      <c r="J66" s="82">
        <v>0.53669999999999995</v>
      </c>
      <c r="K66" s="81">
        <f t="shared" ref="K66:K129" si="4">((0.0673)*((J66*H66^2*I66)^0.976))</f>
        <v>309.11102598315711</v>
      </c>
      <c r="L66" s="81">
        <f t="shared" ref="L66:L129" si="5">EXP(-1.305+1.055*LN(H66^2)+0.34*LN(I66)+1.077*LN(J66))</f>
        <v>315.37440897824388</v>
      </c>
      <c r="M66" s="82">
        <v>0.4</v>
      </c>
      <c r="N66" s="99">
        <f t="shared" si="2"/>
        <v>232.0101640451642</v>
      </c>
      <c r="O66" s="99">
        <f t="shared" si="3"/>
        <v>229.78629997866935</v>
      </c>
      <c r="P66" s="58">
        <v>12</v>
      </c>
    </row>
    <row r="67" spans="1:16" x14ac:dyDescent="0.3">
      <c r="A67" s="58" t="s">
        <v>85</v>
      </c>
      <c r="B67" s="7" t="s">
        <v>30</v>
      </c>
      <c r="C67" s="16">
        <v>1</v>
      </c>
      <c r="D67" s="16">
        <v>3</v>
      </c>
      <c r="E67" s="16"/>
      <c r="F67" s="16">
        <v>413</v>
      </c>
      <c r="G67" s="7" t="s">
        <v>86</v>
      </c>
      <c r="H67" s="21">
        <v>40.1</v>
      </c>
      <c r="I67" s="21">
        <v>16.3</v>
      </c>
      <c r="J67" s="82">
        <v>0.53669999999999995</v>
      </c>
      <c r="K67" s="81">
        <f t="shared" si="4"/>
        <v>752.7764402855297</v>
      </c>
      <c r="L67" s="81">
        <f t="shared" si="5"/>
        <v>864.85846586947173</v>
      </c>
      <c r="M67" s="82">
        <v>0.4</v>
      </c>
      <c r="N67" s="99">
        <f t="shared" ref="N67:N130" si="6">((0.0673)*((M67*H67^2*I67)^0.976))</f>
        <v>565.01312059148825</v>
      </c>
      <c r="O67" s="99">
        <f t="shared" ref="O67:O130" si="7">EXP(-1.305+1.055*LN(H67^2)+0.34*LN(I67)+1.077*LN(M67))</f>
        <v>630.14823403468915</v>
      </c>
      <c r="P67" s="58">
        <v>12</v>
      </c>
    </row>
    <row r="68" spans="1:16" x14ac:dyDescent="0.3">
      <c r="A68" s="58" t="s">
        <v>85</v>
      </c>
      <c r="B68" s="7" t="s">
        <v>30</v>
      </c>
      <c r="C68" s="16">
        <v>2</v>
      </c>
      <c r="D68" s="16">
        <v>2</v>
      </c>
      <c r="E68" s="16">
        <v>1</v>
      </c>
      <c r="F68" s="16">
        <v>442</v>
      </c>
      <c r="G68" s="7" t="s">
        <v>86</v>
      </c>
      <c r="H68" s="21">
        <v>15.6</v>
      </c>
      <c r="I68" s="21">
        <v>11.6</v>
      </c>
      <c r="J68" s="82">
        <v>0.53669999999999995</v>
      </c>
      <c r="K68" s="81">
        <f t="shared" si="4"/>
        <v>85.530953720927329</v>
      </c>
      <c r="L68" s="81">
        <f t="shared" si="5"/>
        <v>105.09335292638255</v>
      </c>
      <c r="M68" s="82">
        <v>0.4</v>
      </c>
      <c r="N68" s="99">
        <f t="shared" si="6"/>
        <v>64.197161976399201</v>
      </c>
      <c r="O68" s="99">
        <f t="shared" si="7"/>
        <v>76.572518358557843</v>
      </c>
      <c r="P68" s="58">
        <v>12</v>
      </c>
    </row>
    <row r="69" spans="1:16" x14ac:dyDescent="0.3">
      <c r="A69" s="58" t="s">
        <v>85</v>
      </c>
      <c r="B69" s="7" t="s">
        <v>30</v>
      </c>
      <c r="C69" s="16">
        <v>2</v>
      </c>
      <c r="D69" s="16">
        <v>1</v>
      </c>
      <c r="E69" s="16"/>
      <c r="F69" s="16">
        <v>313</v>
      </c>
      <c r="G69" s="7" t="s">
        <v>86</v>
      </c>
      <c r="H69" s="21">
        <v>14.4</v>
      </c>
      <c r="I69" s="21">
        <v>13.3</v>
      </c>
      <c r="J69" s="82">
        <v>0.53669999999999995</v>
      </c>
      <c r="K69" s="81">
        <f t="shared" si="4"/>
        <v>83.605699992478151</v>
      </c>
      <c r="L69" s="81">
        <f t="shared" si="5"/>
        <v>92.986744997008344</v>
      </c>
      <c r="M69" s="82">
        <v>0.4</v>
      </c>
      <c r="N69" s="99">
        <f t="shared" si="6"/>
        <v>62.752119917658753</v>
      </c>
      <c r="O69" s="99">
        <f t="shared" si="7"/>
        <v>67.751470860137545</v>
      </c>
      <c r="P69" s="58">
        <v>12</v>
      </c>
    </row>
    <row r="70" spans="1:16" s="98" customFormat="1" x14ac:dyDescent="0.3">
      <c r="A70" s="89" t="s">
        <v>130</v>
      </c>
      <c r="B70" s="100" t="s">
        <v>24</v>
      </c>
      <c r="C70" s="101">
        <v>1</v>
      </c>
      <c r="D70" s="101">
        <v>1</v>
      </c>
      <c r="E70" s="101">
        <v>1</v>
      </c>
      <c r="F70" s="101">
        <v>1672</v>
      </c>
      <c r="G70" s="100" t="s">
        <v>21</v>
      </c>
      <c r="H70" s="102">
        <v>12.4</v>
      </c>
      <c r="I70" s="102">
        <v>11.2</v>
      </c>
      <c r="J70" s="95">
        <v>0.75600000000000001</v>
      </c>
      <c r="K70" s="96">
        <f t="shared" si="4"/>
        <v>73.764644919908122</v>
      </c>
      <c r="L70" s="96">
        <f t="shared" si="5"/>
        <v>92.526803352115266</v>
      </c>
      <c r="M70" s="95">
        <v>0.78982526315789459</v>
      </c>
      <c r="N70" s="97">
        <f t="shared" si="6"/>
        <v>76.984139569290392</v>
      </c>
      <c r="O70" s="97">
        <f t="shared" si="7"/>
        <v>96.993022710028654</v>
      </c>
      <c r="P70" s="89">
        <v>13</v>
      </c>
    </row>
    <row r="71" spans="1:16" s="98" customFormat="1" x14ac:dyDescent="0.3">
      <c r="A71" s="89" t="s">
        <v>130</v>
      </c>
      <c r="B71" s="100" t="s">
        <v>26</v>
      </c>
      <c r="C71" s="101">
        <v>1</v>
      </c>
      <c r="D71" s="101">
        <v>3</v>
      </c>
      <c r="E71" s="101">
        <v>1</v>
      </c>
      <c r="F71" s="101">
        <v>1203</v>
      </c>
      <c r="G71" s="100" t="s">
        <v>21</v>
      </c>
      <c r="H71" s="102">
        <v>16.399999999999999</v>
      </c>
      <c r="I71" s="102">
        <v>15.3</v>
      </c>
      <c r="J71" s="95">
        <v>0.75600000000000001</v>
      </c>
      <c r="K71" s="96">
        <f t="shared" si="4"/>
        <v>172.61811290206032</v>
      </c>
      <c r="L71" s="96">
        <f t="shared" si="5"/>
        <v>185.57919252529356</v>
      </c>
      <c r="M71" s="95">
        <v>0.78982526315789459</v>
      </c>
      <c r="N71" s="97">
        <f t="shared" si="6"/>
        <v>180.15211637320934</v>
      </c>
      <c r="O71" s="97">
        <f t="shared" si="7"/>
        <v>194.53700098786652</v>
      </c>
      <c r="P71" s="89">
        <v>13</v>
      </c>
    </row>
    <row r="72" spans="1:16" s="98" customFormat="1" x14ac:dyDescent="0.3">
      <c r="A72" s="89" t="s">
        <v>130</v>
      </c>
      <c r="B72" s="100" t="s">
        <v>20</v>
      </c>
      <c r="C72" s="101">
        <v>1</v>
      </c>
      <c r="D72" s="101">
        <v>2</v>
      </c>
      <c r="E72" s="101">
        <v>2</v>
      </c>
      <c r="F72" s="101">
        <v>7465</v>
      </c>
      <c r="G72" s="100" t="s">
        <v>21</v>
      </c>
      <c r="H72" s="102">
        <v>28.1</v>
      </c>
      <c r="I72" s="102">
        <v>13.1</v>
      </c>
      <c r="J72" s="95">
        <v>0.75600000000000001</v>
      </c>
      <c r="K72" s="96">
        <f t="shared" si="4"/>
        <v>424.40828924556314</v>
      </c>
      <c r="L72" s="96">
        <f t="shared" si="5"/>
        <v>548.34798307511039</v>
      </c>
      <c r="M72" s="95">
        <v>0.78982526315789459</v>
      </c>
      <c r="N72" s="97">
        <f t="shared" si="6"/>
        <v>442.9318003105613</v>
      </c>
      <c r="O72" s="97">
        <f t="shared" si="7"/>
        <v>574.81644721909333</v>
      </c>
      <c r="P72" s="89">
        <v>13</v>
      </c>
    </row>
    <row r="73" spans="1:16" s="98" customFormat="1" x14ac:dyDescent="0.3">
      <c r="A73" s="89" t="s">
        <v>130</v>
      </c>
      <c r="B73" s="100" t="s">
        <v>30</v>
      </c>
      <c r="C73" s="101">
        <v>2</v>
      </c>
      <c r="D73" s="101">
        <v>1</v>
      </c>
      <c r="E73" s="101">
        <v>2</v>
      </c>
      <c r="F73" s="101">
        <v>98</v>
      </c>
      <c r="G73" s="100" t="s">
        <v>21</v>
      </c>
      <c r="H73" s="102">
        <v>11.8</v>
      </c>
      <c r="I73" s="102">
        <v>16.5</v>
      </c>
      <c r="J73" s="95">
        <v>0.75600000000000001</v>
      </c>
      <c r="K73" s="96">
        <f t="shared" si="4"/>
        <v>97.730550356301194</v>
      </c>
      <c r="L73" s="96">
        <f t="shared" si="5"/>
        <v>95.066882251768376</v>
      </c>
      <c r="M73" s="95">
        <v>0.78982526315789459</v>
      </c>
      <c r="N73" s="97">
        <f t="shared" si="6"/>
        <v>101.9960488792715</v>
      </c>
      <c r="O73" s="97">
        <f t="shared" si="7"/>
        <v>99.655709860926379</v>
      </c>
      <c r="P73" s="89">
        <v>13</v>
      </c>
    </row>
    <row r="74" spans="1:16" s="98" customFormat="1" x14ac:dyDescent="0.3">
      <c r="A74" s="89" t="s">
        <v>130</v>
      </c>
      <c r="B74" s="100" t="s">
        <v>26</v>
      </c>
      <c r="C74" s="101">
        <v>2</v>
      </c>
      <c r="D74" s="101">
        <v>3</v>
      </c>
      <c r="E74" s="101">
        <v>2</v>
      </c>
      <c r="F74" s="101">
        <v>668</v>
      </c>
      <c r="G74" s="100" t="s">
        <v>21</v>
      </c>
      <c r="H74" s="102">
        <v>13.9</v>
      </c>
      <c r="I74" s="102">
        <v>8.5</v>
      </c>
      <c r="J74" s="95">
        <v>0.75600000000000001</v>
      </c>
      <c r="K74" s="96">
        <f t="shared" si="4"/>
        <v>70.425525815426397</v>
      </c>
      <c r="L74" s="96">
        <f t="shared" si="5"/>
        <v>107.19569346821811</v>
      </c>
      <c r="M74" s="95">
        <v>0.78982526315789459</v>
      </c>
      <c r="N74" s="97">
        <f t="shared" si="6"/>
        <v>73.499282949198033</v>
      </c>
      <c r="O74" s="97">
        <f t="shared" si="7"/>
        <v>112.36997231400038</v>
      </c>
      <c r="P74" s="89">
        <v>13</v>
      </c>
    </row>
    <row r="75" spans="1:16" s="98" customFormat="1" x14ac:dyDescent="0.3">
      <c r="A75" s="89" t="s">
        <v>130</v>
      </c>
      <c r="B75" s="100" t="s">
        <v>20</v>
      </c>
      <c r="C75" s="101">
        <v>2</v>
      </c>
      <c r="D75" s="101">
        <v>3</v>
      </c>
      <c r="E75" s="101">
        <v>2</v>
      </c>
      <c r="F75" s="101">
        <v>722</v>
      </c>
      <c r="G75" s="100" t="s">
        <v>21</v>
      </c>
      <c r="H75" s="102">
        <v>21.2</v>
      </c>
      <c r="I75" s="102">
        <v>14.9</v>
      </c>
      <c r="J75" s="95">
        <v>0.75600000000000001</v>
      </c>
      <c r="K75" s="96">
        <f t="shared" si="4"/>
        <v>277.64492219486357</v>
      </c>
      <c r="L75" s="96">
        <f t="shared" si="5"/>
        <v>316.12997187463088</v>
      </c>
      <c r="M75" s="95">
        <v>0.78982526315789459</v>
      </c>
      <c r="N75" s="97">
        <f t="shared" si="6"/>
        <v>289.76287304252389</v>
      </c>
      <c r="O75" s="97">
        <f t="shared" si="7"/>
        <v>331.38939669913299</v>
      </c>
      <c r="P75" s="89">
        <v>13</v>
      </c>
    </row>
    <row r="76" spans="1:16" x14ac:dyDescent="0.3">
      <c r="A76" s="58" t="s">
        <v>74</v>
      </c>
      <c r="B76" s="19" t="s">
        <v>26</v>
      </c>
      <c r="C76" s="22">
        <v>1</v>
      </c>
      <c r="D76" s="22">
        <v>3</v>
      </c>
      <c r="E76" s="22">
        <v>2</v>
      </c>
      <c r="F76" s="22">
        <v>1216</v>
      </c>
      <c r="G76" s="19" t="s">
        <v>21</v>
      </c>
      <c r="H76" s="22">
        <v>26.2</v>
      </c>
      <c r="I76" s="22">
        <v>25.4</v>
      </c>
      <c r="J76" s="82">
        <v>0.55779999999999996</v>
      </c>
      <c r="K76" s="81">
        <f t="shared" si="4"/>
        <v>525.07327949195144</v>
      </c>
      <c r="L76" s="81">
        <f t="shared" si="5"/>
        <v>427.03379368065828</v>
      </c>
      <c r="M76" s="82">
        <v>0.59000000000000008</v>
      </c>
      <c r="N76" s="99">
        <f t="shared" si="6"/>
        <v>554.63651156225887</v>
      </c>
      <c r="O76" s="99">
        <f t="shared" si="7"/>
        <v>453.64121608207239</v>
      </c>
      <c r="P76" s="58">
        <v>14</v>
      </c>
    </row>
    <row r="77" spans="1:16" x14ac:dyDescent="0.3">
      <c r="A77" s="58" t="s">
        <v>74</v>
      </c>
      <c r="B77" s="19" t="s">
        <v>59</v>
      </c>
      <c r="C77" s="22">
        <v>1</v>
      </c>
      <c r="D77" s="22">
        <v>1</v>
      </c>
      <c r="E77" s="22">
        <v>2</v>
      </c>
      <c r="F77" s="22">
        <v>1768</v>
      </c>
      <c r="G77" s="19" t="s">
        <v>21</v>
      </c>
      <c r="H77" s="22">
        <v>13.4</v>
      </c>
      <c r="I77" s="22">
        <v>9.1999999999999993</v>
      </c>
      <c r="J77" s="82">
        <v>0.55779999999999996</v>
      </c>
      <c r="K77" s="81">
        <f t="shared" si="4"/>
        <v>52.643356989902301</v>
      </c>
      <c r="L77" s="81">
        <f t="shared" si="5"/>
        <v>73.465263758137738</v>
      </c>
      <c r="M77" s="82">
        <v>0.59000000000000008</v>
      </c>
      <c r="N77" s="99">
        <f t="shared" si="6"/>
        <v>55.607339048098716</v>
      </c>
      <c r="O77" s="99">
        <f t="shared" si="7"/>
        <v>78.042703140150223</v>
      </c>
      <c r="P77" s="58">
        <v>14</v>
      </c>
    </row>
    <row r="78" spans="1:16" x14ac:dyDescent="0.3">
      <c r="A78" s="58" t="s">
        <v>74</v>
      </c>
      <c r="B78" s="19" t="s">
        <v>38</v>
      </c>
      <c r="C78" s="22">
        <v>1</v>
      </c>
      <c r="D78" s="22">
        <v>2</v>
      </c>
      <c r="E78" s="22">
        <v>1</v>
      </c>
      <c r="F78" s="22">
        <v>1966</v>
      </c>
      <c r="G78" s="19" t="s">
        <v>21</v>
      </c>
      <c r="H78" s="22">
        <v>18.2</v>
      </c>
      <c r="I78" s="22">
        <v>15.5</v>
      </c>
      <c r="J78" s="82">
        <v>0.55779999999999996</v>
      </c>
      <c r="K78" s="81">
        <f t="shared" si="4"/>
        <v>159.22130409847304</v>
      </c>
      <c r="L78" s="81">
        <f t="shared" si="5"/>
        <v>167.36570156565634</v>
      </c>
      <c r="M78" s="82">
        <v>0.59000000000000008</v>
      </c>
      <c r="N78" s="99">
        <f t="shared" si="6"/>
        <v>168.1859506486737</v>
      </c>
      <c r="O78" s="99">
        <f t="shared" si="7"/>
        <v>177.79384562115132</v>
      </c>
      <c r="P78" s="58">
        <v>14</v>
      </c>
    </row>
    <row r="79" spans="1:16" x14ac:dyDescent="0.3">
      <c r="A79" s="58" t="s">
        <v>74</v>
      </c>
      <c r="B79" s="19" t="s">
        <v>38</v>
      </c>
      <c r="C79" s="22">
        <v>1</v>
      </c>
      <c r="D79" s="22">
        <v>2</v>
      </c>
      <c r="E79" s="22">
        <v>1</v>
      </c>
      <c r="F79" s="22">
        <v>1968</v>
      </c>
      <c r="G79" s="19" t="s">
        <v>21</v>
      </c>
      <c r="H79" s="22">
        <v>13.7</v>
      </c>
      <c r="I79" s="22">
        <v>8.9</v>
      </c>
      <c r="J79" s="82">
        <v>0.55779999999999996</v>
      </c>
      <c r="K79" s="81">
        <f t="shared" si="4"/>
        <v>53.218335060147091</v>
      </c>
      <c r="L79" s="81">
        <f t="shared" si="5"/>
        <v>76.11601714517785</v>
      </c>
      <c r="M79" s="82">
        <v>0.59000000000000008</v>
      </c>
      <c r="N79" s="99">
        <f t="shared" si="6"/>
        <v>56.214690142814362</v>
      </c>
      <c r="O79" s="99">
        <f t="shared" si="7"/>
        <v>80.858618432628973</v>
      </c>
      <c r="P79" s="58">
        <v>14</v>
      </c>
    </row>
    <row r="80" spans="1:16" x14ac:dyDescent="0.3">
      <c r="A80" s="58" t="s">
        <v>74</v>
      </c>
      <c r="B80" s="19" t="s">
        <v>38</v>
      </c>
      <c r="C80" s="22">
        <v>1</v>
      </c>
      <c r="D80" s="22">
        <v>2</v>
      </c>
      <c r="E80" s="22">
        <v>1</v>
      </c>
      <c r="F80" s="22">
        <v>1975</v>
      </c>
      <c r="G80" s="19" t="s">
        <v>21</v>
      </c>
      <c r="H80" s="22">
        <v>13.9</v>
      </c>
      <c r="I80" s="22">
        <v>12.3</v>
      </c>
      <c r="J80" s="82">
        <v>0.55779999999999996</v>
      </c>
      <c r="K80" s="81">
        <f t="shared" si="4"/>
        <v>75.074140495971577</v>
      </c>
      <c r="L80" s="81">
        <f t="shared" si="5"/>
        <v>87.605631132998269</v>
      </c>
      <c r="M80" s="82">
        <v>0.59000000000000008</v>
      </c>
      <c r="N80" s="99">
        <f t="shared" si="6"/>
        <v>79.301044291397361</v>
      </c>
      <c r="O80" s="99">
        <f t="shared" si="7"/>
        <v>93.064121928790527</v>
      </c>
      <c r="P80" s="58">
        <v>14</v>
      </c>
    </row>
    <row r="81" spans="1:16" x14ac:dyDescent="0.3">
      <c r="A81" s="58" t="s">
        <v>74</v>
      </c>
      <c r="B81" s="19" t="s">
        <v>38</v>
      </c>
      <c r="C81" s="22">
        <v>1</v>
      </c>
      <c r="D81" s="22">
        <v>1</v>
      </c>
      <c r="E81" s="22">
        <v>1</v>
      </c>
      <c r="F81" s="22">
        <v>3269</v>
      </c>
      <c r="G81" s="19" t="s">
        <v>21</v>
      </c>
      <c r="H81" s="22">
        <v>17.7</v>
      </c>
      <c r="I81" s="22">
        <v>16.5</v>
      </c>
      <c r="J81" s="82">
        <v>0.55779999999999996</v>
      </c>
      <c r="K81" s="81">
        <f t="shared" si="4"/>
        <v>160.28254713026215</v>
      </c>
      <c r="L81" s="81">
        <f t="shared" si="5"/>
        <v>161.20228345746392</v>
      </c>
      <c r="M81" s="82">
        <v>0.59000000000000008</v>
      </c>
      <c r="N81" s="99">
        <f t="shared" si="6"/>
        <v>169.30694490997175</v>
      </c>
      <c r="O81" s="99">
        <f t="shared" si="7"/>
        <v>171.24640013276559</v>
      </c>
      <c r="P81" s="58">
        <v>14</v>
      </c>
    </row>
    <row r="82" spans="1:16" s="98" customFormat="1" x14ac:dyDescent="0.3">
      <c r="A82" s="89" t="s">
        <v>131</v>
      </c>
      <c r="B82" s="100" t="s">
        <v>30</v>
      </c>
      <c r="C82" s="101">
        <v>2</v>
      </c>
      <c r="D82" s="101">
        <v>1</v>
      </c>
      <c r="E82" s="101"/>
      <c r="F82" s="101">
        <v>496</v>
      </c>
      <c r="G82" s="100" t="s">
        <v>84</v>
      </c>
      <c r="H82" s="102">
        <v>19.899999999999999</v>
      </c>
      <c r="I82" s="102">
        <v>8.1</v>
      </c>
      <c r="J82" s="95">
        <v>0.66990000000000005</v>
      </c>
      <c r="K82" s="96">
        <f t="shared" si="4"/>
        <v>120.29383931940639</v>
      </c>
      <c r="L82" s="96">
        <f t="shared" si="5"/>
        <v>197.38918088769</v>
      </c>
      <c r="M82" s="95">
        <v>0.55479999999999996</v>
      </c>
      <c r="N82" s="97">
        <f t="shared" si="6"/>
        <v>100.0771261116948</v>
      </c>
      <c r="O82" s="97">
        <f t="shared" si="7"/>
        <v>161.1185549112902</v>
      </c>
      <c r="P82" s="89">
        <v>15</v>
      </c>
    </row>
    <row r="83" spans="1:16" s="98" customFormat="1" x14ac:dyDescent="0.3">
      <c r="A83" s="89" t="s">
        <v>131</v>
      </c>
      <c r="B83" s="100" t="s">
        <v>30</v>
      </c>
      <c r="C83" s="101">
        <v>1</v>
      </c>
      <c r="D83" s="101">
        <v>2</v>
      </c>
      <c r="E83" s="101">
        <v>1</v>
      </c>
      <c r="F83" s="101">
        <v>4964</v>
      </c>
      <c r="G83" s="100" t="s">
        <v>84</v>
      </c>
      <c r="H83" s="103">
        <f>SQRT(19.9^2+5.5^2)</f>
        <v>20.646065000382034</v>
      </c>
      <c r="I83" s="102">
        <v>9.6</v>
      </c>
      <c r="J83" s="95">
        <v>0.66990000000000005</v>
      </c>
      <c r="K83" s="96">
        <f t="shared" si="4"/>
        <v>152.56675763888504</v>
      </c>
      <c r="L83" s="96">
        <f t="shared" si="5"/>
        <v>226.01504471760495</v>
      </c>
      <c r="M83" s="95">
        <v>0.55479999999999996</v>
      </c>
      <c r="N83" s="97">
        <f t="shared" si="6"/>
        <v>126.92622274809958</v>
      </c>
      <c r="O83" s="97">
        <f t="shared" si="7"/>
        <v>184.48436347598292</v>
      </c>
      <c r="P83" s="89">
        <v>15</v>
      </c>
    </row>
    <row r="84" spans="1:16" s="98" customFormat="1" x14ac:dyDescent="0.3">
      <c r="A84" s="89" t="s">
        <v>131</v>
      </c>
      <c r="B84" s="100" t="s">
        <v>30</v>
      </c>
      <c r="C84" s="101">
        <v>1</v>
      </c>
      <c r="D84" s="101">
        <v>2</v>
      </c>
      <c r="E84" s="101">
        <v>2</v>
      </c>
      <c r="F84" s="101">
        <v>4974</v>
      </c>
      <c r="G84" s="100" t="s">
        <v>84</v>
      </c>
      <c r="H84" s="103">
        <f>SQRT(29.5^2+16.4^2)</f>
        <v>33.752185114448515</v>
      </c>
      <c r="I84" s="102">
        <v>12.3</v>
      </c>
      <c r="J84" s="95">
        <v>0.66990000000000005</v>
      </c>
      <c r="K84" s="96">
        <f t="shared" si="4"/>
        <v>507.21663550675459</v>
      </c>
      <c r="L84" s="96">
        <f t="shared" si="5"/>
        <v>693.65445840047994</v>
      </c>
      <c r="M84" s="95">
        <v>0.55479999999999996</v>
      </c>
      <c r="N84" s="97">
        <f t="shared" si="6"/>
        <v>421.97325719048683</v>
      </c>
      <c r="O84" s="97">
        <f t="shared" si="7"/>
        <v>566.19417256130293</v>
      </c>
      <c r="P84" s="89">
        <v>15</v>
      </c>
    </row>
    <row r="85" spans="1:16" s="98" customFormat="1" x14ac:dyDescent="0.3">
      <c r="A85" s="89" t="s">
        <v>131</v>
      </c>
      <c r="B85" s="100" t="s">
        <v>30</v>
      </c>
      <c r="C85" s="101">
        <v>1</v>
      </c>
      <c r="D85" s="101">
        <v>1</v>
      </c>
      <c r="E85" s="101">
        <v>1</v>
      </c>
      <c r="F85" s="101">
        <v>1312</v>
      </c>
      <c r="G85" s="100" t="s">
        <v>84</v>
      </c>
      <c r="H85" s="103">
        <f>SQRT(4.9^2 + 2^2 + 5.4^2 + 22^2)</f>
        <v>23.263060847618483</v>
      </c>
      <c r="I85" s="102">
        <v>6.3</v>
      </c>
      <c r="J85" s="95">
        <v>0.66990000000000005</v>
      </c>
      <c r="K85" s="96">
        <f t="shared" si="4"/>
        <v>127.67059517466222</v>
      </c>
      <c r="L85" s="96">
        <f t="shared" si="5"/>
        <v>251.94242285792836</v>
      </c>
      <c r="M85" s="95">
        <v>0.55479999999999996</v>
      </c>
      <c r="N85" s="97">
        <f t="shared" si="6"/>
        <v>106.21413637089388</v>
      </c>
      <c r="O85" s="97">
        <f t="shared" si="7"/>
        <v>205.64753807259021</v>
      </c>
      <c r="P85" s="89">
        <v>15</v>
      </c>
    </row>
    <row r="86" spans="1:16" s="98" customFormat="1" x14ac:dyDescent="0.3">
      <c r="A86" s="89" t="s">
        <v>131</v>
      </c>
      <c r="B86" s="100" t="s">
        <v>30</v>
      </c>
      <c r="C86" s="101">
        <v>1</v>
      </c>
      <c r="D86" s="101">
        <v>1</v>
      </c>
      <c r="E86" s="101"/>
      <c r="F86" s="101">
        <v>2876</v>
      </c>
      <c r="G86" s="100" t="s">
        <v>84</v>
      </c>
      <c r="H86" s="102">
        <v>30.6</v>
      </c>
      <c r="I86" s="102">
        <v>12</v>
      </c>
      <c r="J86" s="95">
        <v>0.66990000000000005</v>
      </c>
      <c r="K86" s="96">
        <f t="shared" si="4"/>
        <v>408.8932329511432</v>
      </c>
      <c r="L86" s="96">
        <f t="shared" si="5"/>
        <v>559.3096091426379</v>
      </c>
      <c r="M86" s="95">
        <v>0.55479999999999996</v>
      </c>
      <c r="N86" s="97">
        <f t="shared" si="6"/>
        <v>340.17419239248312</v>
      </c>
      <c r="O86" s="97">
        <f t="shared" si="7"/>
        <v>456.53543708828624</v>
      </c>
      <c r="P86" s="89">
        <v>15</v>
      </c>
    </row>
    <row r="87" spans="1:16" x14ac:dyDescent="0.3">
      <c r="A87" s="58" t="s">
        <v>66</v>
      </c>
      <c r="B87" s="19" t="s">
        <v>59</v>
      </c>
      <c r="C87" s="22">
        <v>1</v>
      </c>
      <c r="D87" s="22">
        <v>1</v>
      </c>
      <c r="E87" s="22">
        <v>1</v>
      </c>
      <c r="F87" s="22">
        <v>1270</v>
      </c>
      <c r="G87" s="19" t="s">
        <v>21</v>
      </c>
      <c r="H87" s="22">
        <v>14.9</v>
      </c>
      <c r="I87" s="22">
        <v>7.9</v>
      </c>
      <c r="J87" s="82">
        <v>0.51819999999999999</v>
      </c>
      <c r="K87" s="81">
        <f t="shared" si="4"/>
        <v>51.940744708961766</v>
      </c>
      <c r="L87" s="81">
        <f t="shared" si="5"/>
        <v>80.607536318983975</v>
      </c>
      <c r="M87" s="82">
        <v>0.63</v>
      </c>
      <c r="N87" s="99">
        <f t="shared" si="6"/>
        <v>62.851417597286336</v>
      </c>
      <c r="O87" s="99">
        <f t="shared" si="7"/>
        <v>99.483649851626922</v>
      </c>
      <c r="P87" s="58">
        <v>16</v>
      </c>
    </row>
    <row r="88" spans="1:16" x14ac:dyDescent="0.3">
      <c r="A88" s="58" t="s">
        <v>66</v>
      </c>
      <c r="B88" s="19" t="s">
        <v>59</v>
      </c>
      <c r="C88" s="22">
        <v>1</v>
      </c>
      <c r="D88" s="22">
        <v>1</v>
      </c>
      <c r="E88" s="22">
        <v>1</v>
      </c>
      <c r="F88" s="22">
        <v>1271</v>
      </c>
      <c r="G88" s="19" t="s">
        <v>21</v>
      </c>
      <c r="H88" s="22">
        <v>16.399999999999999</v>
      </c>
      <c r="I88" s="22">
        <v>10</v>
      </c>
      <c r="J88" s="82">
        <v>0.51819999999999999</v>
      </c>
      <c r="K88" s="81">
        <f t="shared" si="4"/>
        <v>78.838749382119076</v>
      </c>
      <c r="L88" s="81">
        <f t="shared" si="5"/>
        <v>106.92516512512466</v>
      </c>
      <c r="M88" s="82">
        <v>0.63</v>
      </c>
      <c r="N88" s="99">
        <f t="shared" si="6"/>
        <v>95.399617160445075</v>
      </c>
      <c r="O88" s="99">
        <f t="shared" si="7"/>
        <v>131.96415835785928</v>
      </c>
      <c r="P88" s="58">
        <v>16</v>
      </c>
    </row>
    <row r="89" spans="1:16" x14ac:dyDescent="0.3">
      <c r="A89" s="58" t="s">
        <v>66</v>
      </c>
      <c r="B89" s="19" t="s">
        <v>59</v>
      </c>
      <c r="C89" s="22">
        <v>1</v>
      </c>
      <c r="D89" s="22">
        <v>1</v>
      </c>
      <c r="E89" s="22">
        <v>2</v>
      </c>
      <c r="F89" s="22">
        <v>1276</v>
      </c>
      <c r="G89" s="19" t="s">
        <v>21</v>
      </c>
      <c r="H89" s="22">
        <v>15.7</v>
      </c>
      <c r="I89" s="22">
        <v>9.5</v>
      </c>
      <c r="J89" s="82">
        <v>0.51819999999999999</v>
      </c>
      <c r="K89" s="81">
        <f t="shared" si="4"/>
        <v>68.868225895409452</v>
      </c>
      <c r="L89" s="81">
        <f t="shared" si="5"/>
        <v>95.837108602250424</v>
      </c>
      <c r="M89" s="82">
        <v>0.63</v>
      </c>
      <c r="N89" s="99">
        <f t="shared" si="6"/>
        <v>83.334685499605513</v>
      </c>
      <c r="O89" s="99">
        <f t="shared" si="7"/>
        <v>118.2795776966726</v>
      </c>
      <c r="P89" s="58">
        <v>16</v>
      </c>
    </row>
    <row r="90" spans="1:16" x14ac:dyDescent="0.3">
      <c r="A90" s="58" t="s">
        <v>66</v>
      </c>
      <c r="B90" s="19" t="s">
        <v>59</v>
      </c>
      <c r="C90" s="22">
        <v>1</v>
      </c>
      <c r="D90" s="22">
        <v>1</v>
      </c>
      <c r="E90" s="22">
        <v>1</v>
      </c>
      <c r="F90" s="22">
        <v>3288</v>
      </c>
      <c r="G90" s="19" t="s">
        <v>21</v>
      </c>
      <c r="H90" s="22">
        <v>10.3</v>
      </c>
      <c r="I90" s="22">
        <v>9.1999999999999993</v>
      </c>
      <c r="J90" s="82">
        <v>0.51819999999999999</v>
      </c>
      <c r="K90" s="81">
        <f t="shared" si="4"/>
        <v>29.314312764675666</v>
      </c>
      <c r="L90" s="81">
        <f t="shared" si="5"/>
        <v>38.952363616883737</v>
      </c>
      <c r="M90" s="82">
        <v>0.63</v>
      </c>
      <c r="N90" s="99">
        <f t="shared" si="6"/>
        <v>35.472077334928912</v>
      </c>
      <c r="O90" s="99">
        <f t="shared" si="7"/>
        <v>48.073957844592719</v>
      </c>
      <c r="P90" s="58">
        <v>16</v>
      </c>
    </row>
    <row r="91" spans="1:16" x14ac:dyDescent="0.3">
      <c r="A91" s="58" t="s">
        <v>66</v>
      </c>
      <c r="B91" s="19" t="s">
        <v>59</v>
      </c>
      <c r="C91" s="22">
        <v>1</v>
      </c>
      <c r="D91" s="22">
        <v>1</v>
      </c>
      <c r="E91" s="22">
        <v>1</v>
      </c>
      <c r="F91" s="22">
        <v>3297</v>
      </c>
      <c r="G91" s="19" t="s">
        <v>21</v>
      </c>
      <c r="H91" s="22">
        <v>13</v>
      </c>
      <c r="I91" s="22">
        <v>10.7</v>
      </c>
      <c r="J91" s="82">
        <v>0.51819999999999999</v>
      </c>
      <c r="K91" s="81">
        <f t="shared" si="4"/>
        <v>53.513151199790343</v>
      </c>
      <c r="L91" s="81">
        <f t="shared" si="5"/>
        <v>67.014744788773328</v>
      </c>
      <c r="M91" s="82">
        <v>0.63</v>
      </c>
      <c r="N91" s="99">
        <f t="shared" si="6"/>
        <v>64.754123797236062</v>
      </c>
      <c r="O91" s="99">
        <f t="shared" si="7"/>
        <v>82.707792719033179</v>
      </c>
      <c r="P91" s="58">
        <v>16</v>
      </c>
    </row>
    <row r="92" spans="1:16" x14ac:dyDescent="0.3">
      <c r="A92" s="58" t="s">
        <v>66</v>
      </c>
      <c r="B92" s="19" t="s">
        <v>30</v>
      </c>
      <c r="C92" s="22">
        <v>1</v>
      </c>
      <c r="D92" s="22">
        <v>2</v>
      </c>
      <c r="E92" s="22">
        <v>1</v>
      </c>
      <c r="F92" s="22">
        <v>4965</v>
      </c>
      <c r="G92" s="19" t="s">
        <v>21</v>
      </c>
      <c r="H92" s="22">
        <v>19.399999999999999</v>
      </c>
      <c r="I92" s="22">
        <v>14.8</v>
      </c>
      <c r="J92" s="82">
        <v>0.51819999999999999</v>
      </c>
      <c r="K92" s="81">
        <f t="shared" si="4"/>
        <v>160.44601911125881</v>
      </c>
      <c r="L92" s="81">
        <f t="shared" si="5"/>
        <v>174.14461264268812</v>
      </c>
      <c r="M92" s="82">
        <v>0.63</v>
      </c>
      <c r="N92" s="99">
        <f t="shared" si="6"/>
        <v>194.1493100549246</v>
      </c>
      <c r="O92" s="99">
        <f t="shared" si="7"/>
        <v>214.92458967031183</v>
      </c>
      <c r="P92" s="58">
        <v>16</v>
      </c>
    </row>
    <row r="93" spans="1:16" s="98" customFormat="1" x14ac:dyDescent="0.3">
      <c r="A93" s="89" t="s">
        <v>132</v>
      </c>
      <c r="B93" s="90" t="s">
        <v>30</v>
      </c>
      <c r="C93" s="91">
        <v>1</v>
      </c>
      <c r="D93" s="91">
        <v>1</v>
      </c>
      <c r="E93" s="91">
        <v>2</v>
      </c>
      <c r="F93" s="91">
        <v>1321</v>
      </c>
      <c r="G93" s="90" t="s">
        <v>21</v>
      </c>
      <c r="H93" s="91">
        <v>14.9</v>
      </c>
      <c r="I93" s="91">
        <v>13.8</v>
      </c>
      <c r="J93" s="95">
        <v>0.3448</v>
      </c>
      <c r="K93" s="96">
        <f t="shared" si="4"/>
        <v>60.153692508438617</v>
      </c>
      <c r="L93" s="96">
        <f t="shared" si="5"/>
        <v>62.832964832972344</v>
      </c>
      <c r="M93" s="95">
        <v>0.66</v>
      </c>
      <c r="N93" s="97">
        <f t="shared" si="6"/>
        <v>113.36305198837266</v>
      </c>
      <c r="O93" s="97">
        <f t="shared" si="7"/>
        <v>126.4376558454764</v>
      </c>
      <c r="P93" s="89">
        <v>17</v>
      </c>
    </row>
    <row r="94" spans="1:16" s="98" customFormat="1" x14ac:dyDescent="0.3">
      <c r="A94" s="89" t="s">
        <v>132</v>
      </c>
      <c r="B94" s="90" t="s">
        <v>30</v>
      </c>
      <c r="C94" s="91">
        <v>1</v>
      </c>
      <c r="D94" s="91">
        <v>3</v>
      </c>
      <c r="E94" s="91">
        <v>1</v>
      </c>
      <c r="F94" s="91">
        <v>1721</v>
      </c>
      <c r="G94" s="90" t="s">
        <v>21</v>
      </c>
      <c r="H94" s="91">
        <v>16.7</v>
      </c>
      <c r="I94" s="91">
        <v>16.2</v>
      </c>
      <c r="J94" s="95">
        <v>0.3448</v>
      </c>
      <c r="K94" s="96">
        <f t="shared" si="4"/>
        <v>87.884019763724453</v>
      </c>
      <c r="L94" s="96">
        <f t="shared" si="5"/>
        <v>84.405839969160795</v>
      </c>
      <c r="M94" s="95">
        <v>0.66</v>
      </c>
      <c r="N94" s="97">
        <f t="shared" si="6"/>
        <v>165.62242957944173</v>
      </c>
      <c r="O94" s="97">
        <f t="shared" si="7"/>
        <v>169.84836818918993</v>
      </c>
      <c r="P94" s="89">
        <v>17</v>
      </c>
    </row>
    <row r="95" spans="1:16" s="98" customFormat="1" x14ac:dyDescent="0.3">
      <c r="A95" s="89" t="s">
        <v>132</v>
      </c>
      <c r="B95" s="90" t="s">
        <v>30</v>
      </c>
      <c r="C95" s="91">
        <v>1</v>
      </c>
      <c r="D95" s="91">
        <v>2</v>
      </c>
      <c r="E95" s="91">
        <v>2</v>
      </c>
      <c r="F95" s="91">
        <v>4976</v>
      </c>
      <c r="G95" s="90" t="s">
        <v>21</v>
      </c>
      <c r="H95" s="91">
        <v>15.9</v>
      </c>
      <c r="I95" s="91">
        <v>10.7</v>
      </c>
      <c r="J95" s="95">
        <v>0.3448</v>
      </c>
      <c r="K95" s="96">
        <f t="shared" si="4"/>
        <v>53.270461703414931</v>
      </c>
      <c r="L95" s="96">
        <f t="shared" si="5"/>
        <v>66.091263381677152</v>
      </c>
      <c r="M95" s="95">
        <v>0.66</v>
      </c>
      <c r="N95" s="97">
        <f t="shared" si="6"/>
        <v>100.39121237123852</v>
      </c>
      <c r="O95" s="97">
        <f t="shared" si="7"/>
        <v>132.99427197266533</v>
      </c>
      <c r="P95" s="89">
        <v>17</v>
      </c>
    </row>
    <row r="96" spans="1:16" s="98" customFormat="1" x14ac:dyDescent="0.3">
      <c r="A96" s="89" t="s">
        <v>132</v>
      </c>
      <c r="B96" s="90" t="s">
        <v>30</v>
      </c>
      <c r="C96" s="91">
        <v>2</v>
      </c>
      <c r="D96" s="91">
        <v>2</v>
      </c>
      <c r="E96" s="91">
        <v>1</v>
      </c>
      <c r="F96" s="91">
        <v>451</v>
      </c>
      <c r="G96" s="90" t="s">
        <v>21</v>
      </c>
      <c r="H96" s="91">
        <v>24.5</v>
      </c>
      <c r="I96" s="91">
        <v>11.9</v>
      </c>
      <c r="J96" s="95">
        <v>0.3448</v>
      </c>
      <c r="K96" s="96">
        <f t="shared" si="4"/>
        <v>137.42531408072162</v>
      </c>
      <c r="L96" s="96">
        <f t="shared" si="5"/>
        <v>170.62082672481708</v>
      </c>
      <c r="M96" s="95">
        <v>0.66</v>
      </c>
      <c r="N96" s="97">
        <f t="shared" si="6"/>
        <v>258.98581408723641</v>
      </c>
      <c r="O96" s="97">
        <f t="shared" si="7"/>
        <v>343.3372502292375</v>
      </c>
      <c r="P96" s="89">
        <v>17</v>
      </c>
    </row>
    <row r="97" spans="1:16" s="98" customFormat="1" x14ac:dyDescent="0.3">
      <c r="A97" s="89" t="s">
        <v>132</v>
      </c>
      <c r="B97" s="90" t="s">
        <v>30</v>
      </c>
      <c r="C97" s="91">
        <v>2</v>
      </c>
      <c r="D97" s="91">
        <v>2</v>
      </c>
      <c r="E97" s="91">
        <v>2</v>
      </c>
      <c r="F97" s="91">
        <v>460</v>
      </c>
      <c r="G97" s="90" t="s">
        <v>21</v>
      </c>
      <c r="H97" s="91">
        <v>24.4</v>
      </c>
      <c r="I97" s="91">
        <v>19</v>
      </c>
      <c r="J97" s="95">
        <v>0.3448</v>
      </c>
      <c r="K97" s="96">
        <f t="shared" si="4"/>
        <v>215.24306257139182</v>
      </c>
      <c r="L97" s="96">
        <f t="shared" si="5"/>
        <v>198.32359897612682</v>
      </c>
      <c r="M97" s="95">
        <v>0.66</v>
      </c>
      <c r="N97" s="97">
        <f t="shared" si="6"/>
        <v>405.63778339948414</v>
      </c>
      <c r="O97" s="97">
        <f t="shared" si="7"/>
        <v>399.08304534152899</v>
      </c>
      <c r="P97" s="89">
        <v>17</v>
      </c>
    </row>
    <row r="98" spans="1:16" s="98" customFormat="1" x14ac:dyDescent="0.3">
      <c r="A98" s="89" t="s">
        <v>132</v>
      </c>
      <c r="B98" s="90" t="s">
        <v>30</v>
      </c>
      <c r="C98" s="91">
        <v>2</v>
      </c>
      <c r="D98" s="91">
        <v>2</v>
      </c>
      <c r="E98" s="91">
        <v>2</v>
      </c>
      <c r="F98" s="91">
        <v>475</v>
      </c>
      <c r="G98" s="90" t="s">
        <v>21</v>
      </c>
      <c r="H98" s="91">
        <v>14.4</v>
      </c>
      <c r="I98" s="91">
        <v>11.9</v>
      </c>
      <c r="J98" s="95">
        <v>0.3448</v>
      </c>
      <c r="K98" s="96">
        <f t="shared" si="4"/>
        <v>48.701027722788126</v>
      </c>
      <c r="L98" s="96">
        <f t="shared" si="5"/>
        <v>55.595093154238775</v>
      </c>
      <c r="M98" s="95">
        <v>0.66</v>
      </c>
      <c r="N98" s="97">
        <f t="shared" si="6"/>
        <v>91.779854359748711</v>
      </c>
      <c r="O98" s="97">
        <f t="shared" si="7"/>
        <v>111.87301559967337</v>
      </c>
      <c r="P98" s="89">
        <v>17</v>
      </c>
    </row>
    <row r="99" spans="1:16" x14ac:dyDescent="0.3">
      <c r="A99" s="58" t="s">
        <v>133</v>
      </c>
      <c r="B99" s="19" t="s">
        <v>26</v>
      </c>
      <c r="C99" s="22">
        <v>1</v>
      </c>
      <c r="D99" s="22">
        <v>3</v>
      </c>
      <c r="E99" s="22">
        <v>2</v>
      </c>
      <c r="F99" s="22">
        <v>1218</v>
      </c>
      <c r="G99" s="19" t="s">
        <v>21</v>
      </c>
      <c r="H99" s="29">
        <f>SQRT(12.8^2 + 15.4^2 + 11.7^2 + 12.2^2 + 14^2 + 14.3^2)</f>
        <v>32.973019273339226</v>
      </c>
      <c r="I99" s="22">
        <v>10.6</v>
      </c>
      <c r="J99" s="82">
        <v>0.75780000000000003</v>
      </c>
      <c r="K99" s="81">
        <f t="shared" si="4"/>
        <v>472.72078017591042</v>
      </c>
      <c r="L99" s="81">
        <f t="shared" si="5"/>
        <v>716.87740495863545</v>
      </c>
      <c r="M99" s="82">
        <v>0.8</v>
      </c>
      <c r="N99" s="99">
        <f t="shared" si="6"/>
        <v>498.39678311038244</v>
      </c>
      <c r="O99" s="99">
        <f t="shared" si="7"/>
        <v>759.96309537318268</v>
      </c>
      <c r="P99" s="58">
        <v>18</v>
      </c>
    </row>
    <row r="100" spans="1:16" x14ac:dyDescent="0.3">
      <c r="A100" s="58" t="s">
        <v>133</v>
      </c>
      <c r="B100" s="19" t="s">
        <v>26</v>
      </c>
      <c r="C100" s="22">
        <v>1</v>
      </c>
      <c r="D100" s="22">
        <v>2</v>
      </c>
      <c r="E100" s="22">
        <v>2</v>
      </c>
      <c r="F100" s="22">
        <v>1357</v>
      </c>
      <c r="G100" s="19" t="s">
        <v>21</v>
      </c>
      <c r="H100" s="29">
        <f>SQRT(17^2+22.3^2)</f>
        <v>28.040863039500049</v>
      </c>
      <c r="I100" s="22">
        <v>10.6</v>
      </c>
      <c r="J100" s="82">
        <v>0.75780000000000003</v>
      </c>
      <c r="K100" s="81">
        <f t="shared" si="4"/>
        <v>344.54634367748724</v>
      </c>
      <c r="L100" s="81">
        <f t="shared" si="5"/>
        <v>509.29545940068709</v>
      </c>
      <c r="M100" s="82">
        <v>0.8</v>
      </c>
      <c r="N100" s="99">
        <f t="shared" si="6"/>
        <v>363.26050498013348</v>
      </c>
      <c r="O100" s="99">
        <f t="shared" si="7"/>
        <v>539.90508155015175</v>
      </c>
      <c r="P100" s="58">
        <v>18</v>
      </c>
    </row>
    <row r="101" spans="1:16" x14ac:dyDescent="0.3">
      <c r="A101" s="58" t="s">
        <v>133</v>
      </c>
      <c r="B101" s="19" t="s">
        <v>20</v>
      </c>
      <c r="C101" s="22">
        <v>1</v>
      </c>
      <c r="D101" s="22">
        <v>2</v>
      </c>
      <c r="E101" s="22">
        <v>1</v>
      </c>
      <c r="F101" s="22">
        <v>7445</v>
      </c>
      <c r="G101" s="19" t="s">
        <v>21</v>
      </c>
      <c r="H101" s="22">
        <v>10.8</v>
      </c>
      <c r="I101" s="22">
        <v>11.9</v>
      </c>
      <c r="J101" s="82">
        <v>0.75780000000000003</v>
      </c>
      <c r="K101" s="81">
        <f t="shared" si="4"/>
        <v>59.901453384258964</v>
      </c>
      <c r="L101" s="81">
        <f t="shared" si="5"/>
        <v>70.751572580769775</v>
      </c>
      <c r="M101" s="82">
        <v>0.8</v>
      </c>
      <c r="N101" s="99">
        <f t="shared" si="6"/>
        <v>63.155022842959312</v>
      </c>
      <c r="O101" s="99">
        <f t="shared" si="7"/>
        <v>75.003876156627783</v>
      </c>
      <c r="P101" s="58">
        <v>18</v>
      </c>
    </row>
    <row r="102" spans="1:16" x14ac:dyDescent="0.3">
      <c r="A102" s="58" t="s">
        <v>133</v>
      </c>
      <c r="B102" s="19" t="s">
        <v>30</v>
      </c>
      <c r="C102" s="22">
        <v>2</v>
      </c>
      <c r="D102" s="22">
        <v>1</v>
      </c>
      <c r="E102" s="22">
        <v>1</v>
      </c>
      <c r="F102" s="12">
        <v>76</v>
      </c>
      <c r="G102" s="19" t="s">
        <v>21</v>
      </c>
      <c r="H102" s="22">
        <v>21.3</v>
      </c>
      <c r="I102" s="22">
        <v>17.899999999999999</v>
      </c>
      <c r="J102" s="82">
        <v>0.75780000000000003</v>
      </c>
      <c r="K102" s="81">
        <f t="shared" si="4"/>
        <v>335.92466975826994</v>
      </c>
      <c r="L102" s="81">
        <f t="shared" si="5"/>
        <v>340.70381778367295</v>
      </c>
      <c r="M102" s="82">
        <v>0.8</v>
      </c>
      <c r="N102" s="99">
        <f t="shared" si="6"/>
        <v>354.17054167290263</v>
      </c>
      <c r="O102" s="99">
        <f t="shared" si="7"/>
        <v>361.18076281575782</v>
      </c>
      <c r="P102" s="58">
        <v>18</v>
      </c>
    </row>
    <row r="103" spans="1:16" x14ac:dyDescent="0.3">
      <c r="A103" s="58" t="s">
        <v>133</v>
      </c>
      <c r="B103" s="19" t="s">
        <v>26</v>
      </c>
      <c r="C103" s="22">
        <v>2</v>
      </c>
      <c r="D103" s="22">
        <v>1</v>
      </c>
      <c r="E103" s="22">
        <v>2</v>
      </c>
      <c r="F103" s="22">
        <v>196</v>
      </c>
      <c r="G103" s="19" t="s">
        <v>21</v>
      </c>
      <c r="H103" s="22">
        <v>11.9</v>
      </c>
      <c r="I103" s="22">
        <v>13.4</v>
      </c>
      <c r="J103" s="82">
        <v>0.75780000000000003</v>
      </c>
      <c r="K103" s="81">
        <f t="shared" si="4"/>
        <v>81.279740163658616</v>
      </c>
      <c r="L103" s="81">
        <f t="shared" si="5"/>
        <v>90.3952741676366</v>
      </c>
      <c r="M103" s="82">
        <v>0.8</v>
      </c>
      <c r="N103" s="99">
        <f t="shared" si="6"/>
        <v>85.694479126855057</v>
      </c>
      <c r="O103" s="99">
        <f t="shared" si="7"/>
        <v>95.828201430771131</v>
      </c>
      <c r="P103" s="58">
        <v>18</v>
      </c>
    </row>
    <row r="104" spans="1:16" s="98" customFormat="1" x14ac:dyDescent="0.3">
      <c r="A104" s="89" t="s">
        <v>134</v>
      </c>
      <c r="B104" s="90" t="s">
        <v>59</v>
      </c>
      <c r="C104" s="91">
        <v>2</v>
      </c>
      <c r="D104" s="91">
        <v>3</v>
      </c>
      <c r="E104" s="91">
        <v>1</v>
      </c>
      <c r="F104" s="91">
        <v>744</v>
      </c>
      <c r="G104" s="90" t="s">
        <v>60</v>
      </c>
      <c r="H104" s="91">
        <v>10.8</v>
      </c>
      <c r="I104" s="91">
        <v>6.5</v>
      </c>
      <c r="J104" s="95">
        <v>0.58850000000000002</v>
      </c>
      <c r="K104" s="96">
        <f t="shared" si="4"/>
        <v>25.937864847965098</v>
      </c>
      <c r="L104" s="96">
        <f t="shared" si="5"/>
        <v>43.870977547481829</v>
      </c>
      <c r="M104" s="95">
        <v>0.95499999999999996</v>
      </c>
      <c r="N104" s="97">
        <f t="shared" si="6"/>
        <v>41.604945905914434</v>
      </c>
      <c r="O104" s="97">
        <f t="shared" si="7"/>
        <v>73.896521863145253</v>
      </c>
      <c r="P104" s="89">
        <v>19</v>
      </c>
    </row>
    <row r="105" spans="1:16" s="98" customFormat="1" x14ac:dyDescent="0.3">
      <c r="A105" s="89" t="s">
        <v>134</v>
      </c>
      <c r="B105" s="90" t="s">
        <v>59</v>
      </c>
      <c r="C105" s="91">
        <v>2</v>
      </c>
      <c r="D105" s="91">
        <v>3</v>
      </c>
      <c r="E105" s="91">
        <v>2</v>
      </c>
      <c r="F105" s="91">
        <v>751</v>
      </c>
      <c r="G105" s="90" t="s">
        <v>60</v>
      </c>
      <c r="H105" s="92">
        <f>SQRT(19.2^2+19.6^2)</f>
        <v>27.437201023428027</v>
      </c>
      <c r="I105" s="91">
        <v>9.1</v>
      </c>
      <c r="J105" s="95">
        <v>0.58850000000000002</v>
      </c>
      <c r="K105" s="96">
        <f t="shared" si="4"/>
        <v>222.3060667881137</v>
      </c>
      <c r="L105" s="96">
        <f t="shared" si="5"/>
        <v>351.74967808622733</v>
      </c>
      <c r="M105" s="95">
        <v>0.95499999999999996</v>
      </c>
      <c r="N105" s="97">
        <f t="shared" si="6"/>
        <v>356.58416517663721</v>
      </c>
      <c r="O105" s="97">
        <f t="shared" si="7"/>
        <v>592.48914043277807</v>
      </c>
      <c r="P105" s="89">
        <v>19</v>
      </c>
    </row>
    <row r="106" spans="1:16" s="98" customFormat="1" x14ac:dyDescent="0.3">
      <c r="A106" s="89" t="s">
        <v>134</v>
      </c>
      <c r="B106" s="90" t="s">
        <v>59</v>
      </c>
      <c r="C106" s="91">
        <v>2</v>
      </c>
      <c r="D106" s="91">
        <v>3</v>
      </c>
      <c r="E106" s="91">
        <v>2</v>
      </c>
      <c r="F106" s="91">
        <v>755</v>
      </c>
      <c r="G106" s="90" t="s">
        <v>60</v>
      </c>
      <c r="H106" s="91">
        <v>24.3</v>
      </c>
      <c r="I106" s="91">
        <v>10.1</v>
      </c>
      <c r="J106" s="95">
        <v>0.58850000000000002</v>
      </c>
      <c r="K106" s="96">
        <f t="shared" si="4"/>
        <v>194.18188966230264</v>
      </c>
      <c r="L106" s="96">
        <f t="shared" si="5"/>
        <v>282.07276171756735</v>
      </c>
      <c r="M106" s="95">
        <v>0.95499999999999996</v>
      </c>
      <c r="N106" s="97">
        <f t="shared" si="6"/>
        <v>311.47232290178925</v>
      </c>
      <c r="O106" s="97">
        <f t="shared" si="7"/>
        <v>475.124949762065</v>
      </c>
      <c r="P106" s="89">
        <v>19</v>
      </c>
    </row>
    <row r="107" spans="1:16" s="98" customFormat="1" x14ac:dyDescent="0.3">
      <c r="A107" s="89" t="s">
        <v>134</v>
      </c>
      <c r="B107" s="90" t="s">
        <v>59</v>
      </c>
      <c r="C107" s="91">
        <v>2</v>
      </c>
      <c r="D107" s="91">
        <v>3</v>
      </c>
      <c r="E107" s="91">
        <v>2</v>
      </c>
      <c r="F107" s="91">
        <v>761</v>
      </c>
      <c r="G107" s="90" t="s">
        <v>60</v>
      </c>
      <c r="H107" s="91">
        <v>16.2</v>
      </c>
      <c r="I107" s="91">
        <v>7.2</v>
      </c>
      <c r="J107" s="95">
        <v>0.58850000000000002</v>
      </c>
      <c r="K107" s="96">
        <f t="shared" si="4"/>
        <v>63.243724929694693</v>
      </c>
      <c r="L107" s="96">
        <f t="shared" si="5"/>
        <v>106.86423366689695</v>
      </c>
      <c r="M107" s="95">
        <v>0.95499999999999996</v>
      </c>
      <c r="N107" s="97">
        <f t="shared" si="6"/>
        <v>101.44442381867486</v>
      </c>
      <c r="O107" s="97">
        <f t="shared" si="7"/>
        <v>180.00271753706102</v>
      </c>
      <c r="P107" s="89">
        <v>19</v>
      </c>
    </row>
    <row r="108" spans="1:16" s="98" customFormat="1" x14ac:dyDescent="0.3">
      <c r="A108" s="89" t="s">
        <v>134</v>
      </c>
      <c r="B108" s="90" t="s">
        <v>59</v>
      </c>
      <c r="C108" s="91">
        <v>2</v>
      </c>
      <c r="D108" s="91">
        <v>3</v>
      </c>
      <c r="E108" s="91">
        <v>2</v>
      </c>
      <c r="F108" s="91">
        <v>766</v>
      </c>
      <c r="G108" s="90" t="s">
        <v>60</v>
      </c>
      <c r="H108" s="92">
        <f>SQRT(6.7^2+13^2)</f>
        <v>14.624978632463023</v>
      </c>
      <c r="I108" s="91">
        <v>7.9</v>
      </c>
      <c r="J108" s="95">
        <v>0.58850000000000002</v>
      </c>
      <c r="K108" s="96">
        <f t="shared" si="4"/>
        <v>56.707116738316834</v>
      </c>
      <c r="L108" s="96">
        <f t="shared" si="5"/>
        <v>88.880566539728818</v>
      </c>
      <c r="M108" s="95">
        <v>0.95499999999999996</v>
      </c>
      <c r="N108" s="97">
        <f t="shared" si="6"/>
        <v>90.95955037961194</v>
      </c>
      <c r="O108" s="97">
        <f t="shared" si="7"/>
        <v>149.71092726172458</v>
      </c>
      <c r="P108" s="89">
        <v>19</v>
      </c>
    </row>
    <row r="109" spans="1:16" x14ac:dyDescent="0.3">
      <c r="A109" s="58" t="s">
        <v>135</v>
      </c>
      <c r="B109" s="19" t="s">
        <v>24</v>
      </c>
      <c r="C109" s="22">
        <v>2</v>
      </c>
      <c r="D109" s="22">
        <v>1</v>
      </c>
      <c r="E109" s="22">
        <v>1</v>
      </c>
      <c r="F109" s="22">
        <v>119</v>
      </c>
      <c r="G109" s="19" t="s">
        <v>21</v>
      </c>
      <c r="H109" s="22">
        <v>12.3</v>
      </c>
      <c r="I109" s="22">
        <v>10.199999999999999</v>
      </c>
      <c r="J109" s="82">
        <v>0.70209999999999995</v>
      </c>
      <c r="K109" s="81">
        <f t="shared" si="4"/>
        <v>61.657939471699201</v>
      </c>
      <c r="L109" s="81">
        <f t="shared" si="5"/>
        <v>81.365676304922843</v>
      </c>
      <c r="M109" s="82">
        <v>0.81794285714285719</v>
      </c>
      <c r="N109" s="99">
        <f t="shared" si="6"/>
        <v>71.568385879203092</v>
      </c>
      <c r="O109" s="99">
        <f t="shared" si="7"/>
        <v>95.911829926539056</v>
      </c>
      <c r="P109" s="58">
        <v>20</v>
      </c>
    </row>
    <row r="110" spans="1:16" x14ac:dyDescent="0.3">
      <c r="A110" s="58" t="s">
        <v>135</v>
      </c>
      <c r="B110" s="19" t="s">
        <v>24</v>
      </c>
      <c r="C110" s="22">
        <v>2</v>
      </c>
      <c r="D110" s="22">
        <v>1</v>
      </c>
      <c r="E110" s="22">
        <v>1</v>
      </c>
      <c r="F110" s="22">
        <v>131</v>
      </c>
      <c r="G110" s="19" t="s">
        <v>21</v>
      </c>
      <c r="H110" s="22">
        <v>14.5</v>
      </c>
      <c r="I110" s="22">
        <v>11.2</v>
      </c>
      <c r="J110" s="82">
        <v>0.70209999999999995</v>
      </c>
      <c r="K110" s="81">
        <f t="shared" si="4"/>
        <v>93.138146802244819</v>
      </c>
      <c r="L110" s="81">
        <f t="shared" si="5"/>
        <v>118.8606244353894</v>
      </c>
      <c r="M110" s="82">
        <v>0.81794285714285719</v>
      </c>
      <c r="N110" s="99">
        <f t="shared" si="6"/>
        <v>108.10849158325318</v>
      </c>
      <c r="O110" s="99">
        <f t="shared" si="7"/>
        <v>140.10993963949343</v>
      </c>
      <c r="P110" s="58">
        <v>20</v>
      </c>
    </row>
    <row r="111" spans="1:16" x14ac:dyDescent="0.3">
      <c r="A111" s="58" t="s">
        <v>135</v>
      </c>
      <c r="B111" s="19" t="s">
        <v>26</v>
      </c>
      <c r="C111" s="22">
        <v>2</v>
      </c>
      <c r="D111" s="22">
        <v>1</v>
      </c>
      <c r="E111" s="22">
        <v>1</v>
      </c>
      <c r="F111" s="22">
        <v>183</v>
      </c>
      <c r="G111" s="19" t="s">
        <v>21</v>
      </c>
      <c r="H111" s="22">
        <v>12.9</v>
      </c>
      <c r="I111" s="22">
        <v>17</v>
      </c>
      <c r="J111" s="82">
        <v>0.70209999999999995</v>
      </c>
      <c r="K111" s="81">
        <f t="shared" si="4"/>
        <v>111.40116271503993</v>
      </c>
      <c r="L111" s="81">
        <f t="shared" si="5"/>
        <v>107.03216668563525</v>
      </c>
      <c r="M111" s="82">
        <v>0.81794285714285719</v>
      </c>
      <c r="N111" s="99">
        <f t="shared" si="6"/>
        <v>129.30697115237462</v>
      </c>
      <c r="O111" s="99">
        <f t="shared" si="7"/>
        <v>126.16684865188699</v>
      </c>
      <c r="P111" s="58">
        <v>20</v>
      </c>
    </row>
    <row r="112" spans="1:16" x14ac:dyDescent="0.3">
      <c r="A112" s="58" t="s">
        <v>135</v>
      </c>
      <c r="B112" s="19" t="s">
        <v>26</v>
      </c>
      <c r="C112" s="22">
        <v>1</v>
      </c>
      <c r="D112" s="22">
        <v>3</v>
      </c>
      <c r="E112" s="22">
        <v>2</v>
      </c>
      <c r="F112" s="22">
        <v>1219</v>
      </c>
      <c r="G112" s="19" t="s">
        <v>21</v>
      </c>
      <c r="H112" s="22">
        <v>17</v>
      </c>
      <c r="I112" s="22">
        <v>15.3</v>
      </c>
      <c r="J112" s="82">
        <v>0.70209999999999995</v>
      </c>
      <c r="K112" s="81">
        <f t="shared" si="4"/>
        <v>172.26442264315912</v>
      </c>
      <c r="L112" s="81">
        <f t="shared" si="5"/>
        <v>184.86713283623428</v>
      </c>
      <c r="M112" s="82">
        <v>0.81794285714285719</v>
      </c>
      <c r="N112" s="99">
        <f t="shared" si="6"/>
        <v>199.95294650809046</v>
      </c>
      <c r="O112" s="99">
        <f t="shared" si="7"/>
        <v>217.91676550623149</v>
      </c>
      <c r="P112" s="58">
        <v>20</v>
      </c>
    </row>
    <row r="113" spans="1:16" x14ac:dyDescent="0.3">
      <c r="A113" s="58" t="s">
        <v>135</v>
      </c>
      <c r="B113" s="19" t="s">
        <v>24</v>
      </c>
      <c r="C113" s="22">
        <v>1</v>
      </c>
      <c r="D113" s="22">
        <v>2</v>
      </c>
      <c r="E113" s="22">
        <v>2</v>
      </c>
      <c r="F113" s="22">
        <v>3583</v>
      </c>
      <c r="G113" s="19" t="s">
        <v>21</v>
      </c>
      <c r="H113" s="22">
        <v>23.5</v>
      </c>
      <c r="I113" s="22">
        <v>16.600000000000001</v>
      </c>
      <c r="J113" s="82">
        <v>0.70209999999999995</v>
      </c>
      <c r="K113" s="81">
        <f t="shared" si="4"/>
        <v>350.95418290357651</v>
      </c>
      <c r="L113" s="81">
        <f t="shared" si="5"/>
        <v>376.36335769590863</v>
      </c>
      <c r="M113" s="82">
        <v>0.81794285714285719</v>
      </c>
      <c r="N113" s="99">
        <f t="shared" si="6"/>
        <v>407.36399242618751</v>
      </c>
      <c r="O113" s="99">
        <f t="shared" si="7"/>
        <v>443.64773935673867</v>
      </c>
      <c r="P113" s="58">
        <v>20</v>
      </c>
    </row>
    <row r="114" spans="1:16" x14ac:dyDescent="0.3">
      <c r="A114" s="58" t="s">
        <v>135</v>
      </c>
      <c r="B114" s="19" t="s">
        <v>24</v>
      </c>
      <c r="C114" s="22">
        <v>1</v>
      </c>
      <c r="D114" s="22">
        <v>2</v>
      </c>
      <c r="E114" s="22">
        <v>2</v>
      </c>
      <c r="F114" s="22">
        <v>3584</v>
      </c>
      <c r="G114" s="19" t="s">
        <v>21</v>
      </c>
      <c r="H114" s="22">
        <v>20.2</v>
      </c>
      <c r="I114" s="22">
        <v>16.2</v>
      </c>
      <c r="J114" s="82">
        <v>0.70209999999999995</v>
      </c>
      <c r="K114" s="81">
        <f t="shared" si="4"/>
        <v>255.05449937854317</v>
      </c>
      <c r="L114" s="81">
        <f t="shared" si="5"/>
        <v>271.23385062322291</v>
      </c>
      <c r="M114" s="82">
        <v>0.81794285714285719</v>
      </c>
      <c r="N114" s="99">
        <f t="shared" si="6"/>
        <v>296.05009489700853</v>
      </c>
      <c r="O114" s="99">
        <f t="shared" si="7"/>
        <v>319.72369840328986</v>
      </c>
      <c r="P114" s="58">
        <v>20</v>
      </c>
    </row>
    <row r="115" spans="1:16" s="98" customFormat="1" x14ac:dyDescent="0.3">
      <c r="A115" s="89" t="s">
        <v>136</v>
      </c>
      <c r="B115" s="90" t="s">
        <v>38</v>
      </c>
      <c r="C115" s="91">
        <v>2</v>
      </c>
      <c r="D115" s="91">
        <v>1</v>
      </c>
      <c r="E115" s="91">
        <v>1</v>
      </c>
      <c r="F115" s="91">
        <v>242</v>
      </c>
      <c r="G115" s="90" t="s">
        <v>21</v>
      </c>
      <c r="H115" s="91">
        <v>11</v>
      </c>
      <c r="I115" s="91">
        <v>9</v>
      </c>
      <c r="J115" s="95">
        <v>0.72640000000000005</v>
      </c>
      <c r="K115" s="96">
        <f t="shared" si="4"/>
        <v>45.358834869756038</v>
      </c>
      <c r="L115" s="96">
        <f t="shared" si="5"/>
        <v>63.901800474309212</v>
      </c>
      <c r="M115" s="95">
        <v>0.76666666666666661</v>
      </c>
      <c r="N115" s="97">
        <f t="shared" si="6"/>
        <v>47.811272014291177</v>
      </c>
      <c r="O115" s="97">
        <f t="shared" si="7"/>
        <v>67.724843178424862</v>
      </c>
      <c r="P115" s="89">
        <v>21</v>
      </c>
    </row>
    <row r="116" spans="1:16" s="98" customFormat="1" x14ac:dyDescent="0.3">
      <c r="A116" s="89" t="s">
        <v>136</v>
      </c>
      <c r="B116" s="90" t="s">
        <v>38</v>
      </c>
      <c r="C116" s="91">
        <v>2</v>
      </c>
      <c r="D116" s="91">
        <v>1</v>
      </c>
      <c r="E116" s="91">
        <v>2</v>
      </c>
      <c r="F116" s="91">
        <v>254</v>
      </c>
      <c r="G116" s="90" t="s">
        <v>21</v>
      </c>
      <c r="H116" s="91">
        <v>11.5</v>
      </c>
      <c r="I116" s="91">
        <v>13.4</v>
      </c>
      <c r="J116" s="95">
        <v>0.72640000000000005</v>
      </c>
      <c r="K116" s="96">
        <f t="shared" si="4"/>
        <v>72.955686300307832</v>
      </c>
      <c r="L116" s="96">
        <f t="shared" si="5"/>
        <v>80.356340534895523</v>
      </c>
      <c r="M116" s="95">
        <v>0.76666666666666661</v>
      </c>
      <c r="N116" s="97">
        <f t="shared" si="6"/>
        <v>76.900215199731207</v>
      </c>
      <c r="O116" s="97">
        <f t="shared" si="7"/>
        <v>85.163806351682226</v>
      </c>
      <c r="P116" s="89">
        <v>21</v>
      </c>
    </row>
    <row r="117" spans="1:16" s="98" customFormat="1" x14ac:dyDescent="0.3">
      <c r="A117" s="89" t="s">
        <v>136</v>
      </c>
      <c r="B117" s="90" t="s">
        <v>24</v>
      </c>
      <c r="C117" s="91">
        <v>2</v>
      </c>
      <c r="D117" s="91">
        <v>3</v>
      </c>
      <c r="E117" s="91">
        <v>1</v>
      </c>
      <c r="F117" s="91">
        <v>677</v>
      </c>
      <c r="G117" s="90" t="s">
        <v>21</v>
      </c>
      <c r="H117" s="91">
        <v>10.5</v>
      </c>
      <c r="I117" s="91">
        <v>4.9000000000000004</v>
      </c>
      <c r="J117" s="95">
        <v>0.72640000000000005</v>
      </c>
      <c r="K117" s="96">
        <f t="shared" si="4"/>
        <v>22.88313725707755</v>
      </c>
      <c r="L117" s="96">
        <f t="shared" si="5"/>
        <v>47.109464134667569</v>
      </c>
      <c r="M117" s="95">
        <v>0.76666666666666661</v>
      </c>
      <c r="N117" s="97">
        <f t="shared" si="6"/>
        <v>24.120370443377308</v>
      </c>
      <c r="O117" s="97">
        <f t="shared" si="7"/>
        <v>49.92787444264075</v>
      </c>
      <c r="P117" s="89">
        <v>21</v>
      </c>
    </row>
    <row r="118" spans="1:16" x14ac:dyDescent="0.3">
      <c r="A118" s="58" t="s">
        <v>137</v>
      </c>
      <c r="B118" s="19" t="s">
        <v>20</v>
      </c>
      <c r="C118" s="22">
        <v>1</v>
      </c>
      <c r="D118" s="22">
        <v>3</v>
      </c>
      <c r="E118" s="22">
        <v>2</v>
      </c>
      <c r="F118" s="22">
        <v>3244</v>
      </c>
      <c r="G118" s="19" t="s">
        <v>21</v>
      </c>
      <c r="H118" s="22">
        <v>13.4</v>
      </c>
      <c r="I118" s="22">
        <v>15.7</v>
      </c>
      <c r="J118" s="82">
        <v>0.52839999999999998</v>
      </c>
      <c r="K118" s="81">
        <f t="shared" si="4"/>
        <v>84.126610803844457</v>
      </c>
      <c r="L118" s="81">
        <f t="shared" si="5"/>
        <v>83.113898332133246</v>
      </c>
      <c r="M118" s="82">
        <v>0.69991428571428571</v>
      </c>
      <c r="N118" s="99">
        <f t="shared" si="6"/>
        <v>110.68415978470226</v>
      </c>
      <c r="O118" s="99">
        <f t="shared" si="7"/>
        <v>112.50090585219911</v>
      </c>
      <c r="P118" s="58">
        <v>22</v>
      </c>
    </row>
    <row r="119" spans="1:16" x14ac:dyDescent="0.3">
      <c r="A119" s="58" t="s">
        <v>137</v>
      </c>
      <c r="B119" s="19" t="s">
        <v>20</v>
      </c>
      <c r="C119" s="22">
        <v>1</v>
      </c>
      <c r="D119" s="22">
        <v>3</v>
      </c>
      <c r="E119" s="22">
        <v>2</v>
      </c>
      <c r="F119" s="22">
        <v>3249</v>
      </c>
      <c r="G119" s="19" t="s">
        <v>21</v>
      </c>
      <c r="H119" s="22">
        <v>30.8</v>
      </c>
      <c r="I119" s="22">
        <v>22.5</v>
      </c>
      <c r="J119" s="82">
        <v>0.52839999999999998</v>
      </c>
      <c r="K119" s="81">
        <f t="shared" si="4"/>
        <v>606.74736932533926</v>
      </c>
      <c r="L119" s="81">
        <f t="shared" si="5"/>
        <v>543.82693566200157</v>
      </c>
      <c r="M119" s="82">
        <v>0.69991428571428571</v>
      </c>
      <c r="N119" s="99">
        <f t="shared" si="6"/>
        <v>798.28870001600717</v>
      </c>
      <c r="O119" s="99">
        <f t="shared" si="7"/>
        <v>736.1106158721368</v>
      </c>
      <c r="P119" s="58">
        <v>22</v>
      </c>
    </row>
    <row r="120" spans="1:16" x14ac:dyDescent="0.3">
      <c r="A120" s="58" t="s">
        <v>137</v>
      </c>
      <c r="B120" s="19" t="s">
        <v>24</v>
      </c>
      <c r="C120" s="22">
        <v>1</v>
      </c>
      <c r="D120" s="22">
        <v>2</v>
      </c>
      <c r="E120" s="22">
        <v>2</v>
      </c>
      <c r="F120" s="22">
        <v>3593</v>
      </c>
      <c r="G120" s="19" t="s">
        <v>21</v>
      </c>
      <c r="H120" s="22">
        <v>38.799999999999997</v>
      </c>
      <c r="I120" s="22">
        <v>17.899999999999999</v>
      </c>
      <c r="J120" s="82">
        <v>0.52839999999999998</v>
      </c>
      <c r="K120" s="81">
        <f t="shared" si="4"/>
        <v>761.74717511585879</v>
      </c>
      <c r="L120" s="81">
        <f t="shared" si="5"/>
        <v>818.99569303839905</v>
      </c>
      <c r="M120" s="82">
        <v>0.69991428571428571</v>
      </c>
      <c r="N120" s="99">
        <f t="shared" si="6"/>
        <v>1002.2196929180967</v>
      </c>
      <c r="O120" s="99">
        <f t="shared" si="7"/>
        <v>1108.5722027822087</v>
      </c>
      <c r="P120" s="58">
        <v>22</v>
      </c>
    </row>
    <row r="121" spans="1:16" x14ac:dyDescent="0.3">
      <c r="A121" s="58" t="s">
        <v>137</v>
      </c>
      <c r="B121" s="19" t="s">
        <v>26</v>
      </c>
      <c r="C121" s="22">
        <v>2</v>
      </c>
      <c r="D121" s="22">
        <v>1</v>
      </c>
      <c r="E121" s="22">
        <v>2</v>
      </c>
      <c r="F121" s="22">
        <v>201</v>
      </c>
      <c r="G121" s="19" t="s">
        <v>21</v>
      </c>
      <c r="H121" s="22">
        <v>26.6</v>
      </c>
      <c r="I121" s="22">
        <v>17.2</v>
      </c>
      <c r="J121" s="82">
        <v>0.52839999999999998</v>
      </c>
      <c r="K121" s="81">
        <f t="shared" si="4"/>
        <v>350.64809567022485</v>
      </c>
      <c r="L121" s="81">
        <f t="shared" si="5"/>
        <v>364.29781933381088</v>
      </c>
      <c r="M121" s="82">
        <v>0.69991428571428571</v>
      </c>
      <c r="N121" s="99">
        <f t="shared" si="6"/>
        <v>461.34260584750865</v>
      </c>
      <c r="O121" s="99">
        <f t="shared" si="7"/>
        <v>493.10446865647077</v>
      </c>
      <c r="P121" s="58">
        <v>22</v>
      </c>
    </row>
    <row r="122" spans="1:16" x14ac:dyDescent="0.3">
      <c r="A122" s="58" t="s">
        <v>137</v>
      </c>
      <c r="B122" s="19" t="s">
        <v>24</v>
      </c>
      <c r="C122" s="22">
        <v>2</v>
      </c>
      <c r="D122" s="22">
        <v>2</v>
      </c>
      <c r="E122" s="22">
        <v>1</v>
      </c>
      <c r="F122" s="22">
        <v>533</v>
      </c>
      <c r="G122" s="19" t="s">
        <v>21</v>
      </c>
      <c r="H122" s="22">
        <v>19.2</v>
      </c>
      <c r="I122" s="22">
        <v>9.9</v>
      </c>
      <c r="J122" s="82">
        <v>0.52839999999999998</v>
      </c>
      <c r="K122" s="81">
        <f t="shared" si="4"/>
        <v>108.23574582590462</v>
      </c>
      <c r="L122" s="81">
        <f t="shared" si="5"/>
        <v>151.76031002179505</v>
      </c>
      <c r="M122" s="82">
        <v>0.69991428571428571</v>
      </c>
      <c r="N122" s="99">
        <f t="shared" si="6"/>
        <v>142.40419851626046</v>
      </c>
      <c r="O122" s="99">
        <f t="shared" si="7"/>
        <v>205.41898157196334</v>
      </c>
      <c r="P122" s="58">
        <v>22</v>
      </c>
    </row>
    <row r="123" spans="1:16" x14ac:dyDescent="0.3">
      <c r="A123" s="58" t="s">
        <v>137</v>
      </c>
      <c r="B123" s="19" t="s">
        <v>20</v>
      </c>
      <c r="C123" s="22">
        <v>2</v>
      </c>
      <c r="D123" s="22">
        <v>3</v>
      </c>
      <c r="E123" s="22">
        <v>2</v>
      </c>
      <c r="F123" s="22">
        <v>725</v>
      </c>
      <c r="G123" s="19" t="s">
        <v>21</v>
      </c>
      <c r="H123" s="22">
        <v>14.3</v>
      </c>
      <c r="I123" s="22">
        <v>11.5</v>
      </c>
      <c r="J123" s="82">
        <v>0.52839999999999998</v>
      </c>
      <c r="K123" s="81">
        <f t="shared" si="4"/>
        <v>70.482906226737924</v>
      </c>
      <c r="L123" s="81">
        <f t="shared" si="5"/>
        <v>85.75766569708216</v>
      </c>
      <c r="M123" s="82">
        <v>0.69991428571428571</v>
      </c>
      <c r="N123" s="99">
        <f t="shared" si="6"/>
        <v>92.733335865397066</v>
      </c>
      <c r="O123" s="99">
        <f t="shared" si="7"/>
        <v>116.07944361047731</v>
      </c>
      <c r="P123" s="58">
        <v>22</v>
      </c>
    </row>
    <row r="124" spans="1:16" s="98" customFormat="1" x14ac:dyDescent="0.3">
      <c r="A124" s="89" t="s">
        <v>138</v>
      </c>
      <c r="B124" s="104" t="s">
        <v>30</v>
      </c>
      <c r="C124" s="101">
        <v>1</v>
      </c>
      <c r="D124" s="101">
        <v>3</v>
      </c>
      <c r="E124" s="101">
        <v>1</v>
      </c>
      <c r="F124" s="101">
        <v>1727</v>
      </c>
      <c r="G124" s="100" t="s">
        <v>21</v>
      </c>
      <c r="H124" s="101">
        <v>35.700000000000003</v>
      </c>
      <c r="I124" s="102">
        <v>18.5</v>
      </c>
      <c r="J124" s="95">
        <v>0.64180000000000004</v>
      </c>
      <c r="K124" s="96">
        <f t="shared" si="4"/>
        <v>808.36062061313521</v>
      </c>
      <c r="L124" s="96">
        <f t="shared" si="5"/>
        <v>856.61074044793668</v>
      </c>
      <c r="M124" s="95">
        <v>0.63750000000000007</v>
      </c>
      <c r="N124" s="97">
        <f t="shared" si="6"/>
        <v>803.07423664007376</v>
      </c>
      <c r="O124" s="97">
        <f t="shared" si="7"/>
        <v>850.43120695205062</v>
      </c>
      <c r="P124" s="89">
        <v>23</v>
      </c>
    </row>
    <row r="125" spans="1:16" s="98" customFormat="1" x14ac:dyDescent="0.3">
      <c r="A125" s="89" t="s">
        <v>138</v>
      </c>
      <c r="B125" s="104" t="s">
        <v>26</v>
      </c>
      <c r="C125" s="101">
        <v>1</v>
      </c>
      <c r="D125" s="101">
        <v>1</v>
      </c>
      <c r="E125" s="101">
        <v>2</v>
      </c>
      <c r="F125" s="101">
        <v>1643</v>
      </c>
      <c r="G125" s="100" t="s">
        <v>21</v>
      </c>
      <c r="H125" s="101">
        <v>11.8</v>
      </c>
      <c r="I125" s="102">
        <v>13</v>
      </c>
      <c r="J125" s="95">
        <v>0.64180000000000004</v>
      </c>
      <c r="K125" s="96">
        <f t="shared" si="4"/>
        <v>66.002376627427566</v>
      </c>
      <c r="L125" s="96">
        <f t="shared" si="5"/>
        <v>73.489783331316872</v>
      </c>
      <c r="M125" s="95">
        <v>0.63750000000000007</v>
      </c>
      <c r="N125" s="97">
        <f t="shared" si="6"/>
        <v>65.570745128947976</v>
      </c>
      <c r="O125" s="97">
        <f t="shared" si="7"/>
        <v>72.959632871769969</v>
      </c>
      <c r="P125" s="89">
        <v>23</v>
      </c>
    </row>
    <row r="126" spans="1:16" s="98" customFormat="1" x14ac:dyDescent="0.3">
      <c r="A126" s="89" t="s">
        <v>138</v>
      </c>
      <c r="B126" s="100" t="s">
        <v>59</v>
      </c>
      <c r="C126" s="101">
        <v>2</v>
      </c>
      <c r="D126" s="101">
        <v>1</v>
      </c>
      <c r="E126" s="101"/>
      <c r="F126" s="101">
        <v>248</v>
      </c>
      <c r="G126" s="100" t="s">
        <v>21</v>
      </c>
      <c r="H126" s="102">
        <v>11.8</v>
      </c>
      <c r="I126" s="102">
        <v>10.199999999999999</v>
      </c>
      <c r="J126" s="95">
        <v>0.64180000000000004</v>
      </c>
      <c r="K126" s="96">
        <f t="shared" si="4"/>
        <v>52.088833262089601</v>
      </c>
      <c r="L126" s="96">
        <f t="shared" si="5"/>
        <v>67.672198456694289</v>
      </c>
      <c r="M126" s="95">
        <v>0.63750000000000007</v>
      </c>
      <c r="N126" s="97">
        <f t="shared" si="6"/>
        <v>51.748191268515839</v>
      </c>
      <c r="O126" s="97">
        <f t="shared" si="7"/>
        <v>67.184015671495132</v>
      </c>
      <c r="P126" s="89">
        <v>23</v>
      </c>
    </row>
    <row r="127" spans="1:16" s="98" customFormat="1" x14ac:dyDescent="0.3">
      <c r="A127" s="89" t="s">
        <v>138</v>
      </c>
      <c r="B127" s="100" t="s">
        <v>26</v>
      </c>
      <c r="C127" s="101">
        <v>2</v>
      </c>
      <c r="D127" s="101">
        <v>2</v>
      </c>
      <c r="E127" s="101">
        <v>2</v>
      </c>
      <c r="F127" s="101">
        <v>505</v>
      </c>
      <c r="G127" s="100" t="s">
        <v>21</v>
      </c>
      <c r="H127" s="102">
        <v>13.5</v>
      </c>
      <c r="I127" s="102">
        <v>10</v>
      </c>
      <c r="J127" s="95">
        <v>0.64180000000000004</v>
      </c>
      <c r="K127" s="96">
        <f t="shared" si="4"/>
        <v>66.442918412794356</v>
      </c>
      <c r="L127" s="96">
        <f t="shared" si="5"/>
        <v>89.293417166589649</v>
      </c>
      <c r="M127" s="95">
        <v>0.63750000000000007</v>
      </c>
      <c r="N127" s="97">
        <f t="shared" si="6"/>
        <v>66.008405931527818</v>
      </c>
      <c r="O127" s="97">
        <f t="shared" si="7"/>
        <v>88.649260332816439</v>
      </c>
      <c r="P127" s="89">
        <v>23</v>
      </c>
    </row>
    <row r="128" spans="1:16" s="98" customFormat="1" x14ac:dyDescent="0.3">
      <c r="A128" s="89" t="s">
        <v>138</v>
      </c>
      <c r="B128" s="100" t="s">
        <v>30</v>
      </c>
      <c r="C128" s="101">
        <v>2</v>
      </c>
      <c r="D128" s="101">
        <v>3</v>
      </c>
      <c r="E128" s="101">
        <v>2</v>
      </c>
      <c r="F128" s="101">
        <v>599</v>
      </c>
      <c r="G128" s="100" t="s">
        <v>21</v>
      </c>
      <c r="H128" s="103">
        <f>SQRT(17.8^2+14^2)</f>
        <v>22.645970944077447</v>
      </c>
      <c r="I128" s="102">
        <v>13.7</v>
      </c>
      <c r="J128" s="95">
        <v>0.64180000000000004</v>
      </c>
      <c r="K128" s="96">
        <f t="shared" si="4"/>
        <v>247.98121500874944</v>
      </c>
      <c r="L128" s="96">
        <f t="shared" si="5"/>
        <v>296.02683381061689</v>
      </c>
      <c r="M128" s="95">
        <v>0.63750000000000007</v>
      </c>
      <c r="N128" s="97">
        <f t="shared" si="6"/>
        <v>246.35950820214055</v>
      </c>
      <c r="O128" s="97">
        <f t="shared" si="7"/>
        <v>293.89131571723271</v>
      </c>
      <c r="P128" s="89">
        <v>23</v>
      </c>
    </row>
    <row r="129" spans="1:16" x14ac:dyDescent="0.3">
      <c r="A129" s="58" t="s">
        <v>88</v>
      </c>
      <c r="B129" s="7" t="s">
        <v>30</v>
      </c>
      <c r="C129" s="16">
        <v>1</v>
      </c>
      <c r="D129" s="16">
        <v>2</v>
      </c>
      <c r="E129" s="16">
        <v>2</v>
      </c>
      <c r="F129" s="16">
        <v>4972</v>
      </c>
      <c r="G129" s="7" t="s">
        <v>21</v>
      </c>
      <c r="H129" s="31">
        <f>SQRT(14.9^2+7.4^2)</f>
        <v>16.636405861844079</v>
      </c>
      <c r="I129" s="20">
        <v>9.6999999999999993</v>
      </c>
      <c r="J129" s="82">
        <v>0.93010000000000004</v>
      </c>
      <c r="K129" s="81">
        <f t="shared" si="4"/>
        <v>139.28276099538243</v>
      </c>
      <c r="L129" s="81">
        <f t="shared" si="5"/>
        <v>204.78119701148589</v>
      </c>
      <c r="M129" s="82">
        <v>0.9</v>
      </c>
      <c r="N129" s="99">
        <f t="shared" si="6"/>
        <v>134.88172872544217</v>
      </c>
      <c r="O129" s="99">
        <f t="shared" si="7"/>
        <v>197.65273714218856</v>
      </c>
      <c r="P129" s="58">
        <v>24</v>
      </c>
    </row>
    <row r="130" spans="1:16" x14ac:dyDescent="0.3">
      <c r="A130" s="58" t="s">
        <v>88</v>
      </c>
      <c r="B130" s="7" t="s">
        <v>30</v>
      </c>
      <c r="C130" s="16">
        <v>2</v>
      </c>
      <c r="D130" s="16">
        <v>1</v>
      </c>
      <c r="E130" s="16"/>
      <c r="F130" s="16">
        <v>424</v>
      </c>
      <c r="G130" s="7" t="s">
        <v>21</v>
      </c>
      <c r="H130" s="21">
        <v>17.600000000000001</v>
      </c>
      <c r="I130" s="21">
        <v>12.7</v>
      </c>
      <c r="J130" s="82">
        <v>0.93010000000000004</v>
      </c>
      <c r="K130" s="81">
        <f t="shared" ref="K130:K173" si="8">((0.0673)*((J130*H130^2*I130)^0.976))</f>
        <v>202.23352711093639</v>
      </c>
      <c r="L130" s="81">
        <f t="shared" ref="L130:L173" si="9">EXP(-1.305+1.055*LN(H130^2)+0.34*LN(I130)+1.077*LN(J130))</f>
        <v>252.74182802530757</v>
      </c>
      <c r="M130" s="82">
        <v>0.9</v>
      </c>
      <c r="N130" s="99">
        <f t="shared" si="6"/>
        <v>195.8433875666135</v>
      </c>
      <c r="O130" s="99">
        <f t="shared" si="7"/>
        <v>243.94385240711543</v>
      </c>
      <c r="P130" s="58">
        <v>24</v>
      </c>
    </row>
    <row r="131" spans="1:16" x14ac:dyDescent="0.3">
      <c r="A131" s="58" t="s">
        <v>88</v>
      </c>
      <c r="B131" s="7" t="s">
        <v>30</v>
      </c>
      <c r="C131" s="16">
        <v>2</v>
      </c>
      <c r="D131" s="16">
        <v>1</v>
      </c>
      <c r="E131" s="16">
        <v>1</v>
      </c>
      <c r="F131" s="16">
        <v>79</v>
      </c>
      <c r="G131" s="7" t="s">
        <v>21</v>
      </c>
      <c r="H131" s="30">
        <f>SQRT(15.1^2+16.6^2+15.4^2)</f>
        <v>27.21635537686852</v>
      </c>
      <c r="I131" s="21">
        <v>12.7</v>
      </c>
      <c r="J131" s="82">
        <v>0.93010000000000004</v>
      </c>
      <c r="K131" s="81">
        <f t="shared" si="8"/>
        <v>473.58782014046045</v>
      </c>
      <c r="L131" s="81">
        <f t="shared" si="9"/>
        <v>634.06915038719455</v>
      </c>
      <c r="M131" s="82">
        <v>0.9</v>
      </c>
      <c r="N131" s="99">
        <f t="shared" ref="N131:N173" si="10">((0.0673)*((M131*H131^2*I131)^0.976))</f>
        <v>458.62347520506682</v>
      </c>
      <c r="O131" s="99">
        <f t="shared" ref="O131:O173" si="11">EXP(-1.305+1.055*LN(H131^2)+0.34*LN(I131)+1.077*LN(M131))</f>
        <v>611.9971215151246</v>
      </c>
      <c r="P131" s="58">
        <v>24</v>
      </c>
    </row>
    <row r="132" spans="1:16" x14ac:dyDescent="0.3">
      <c r="A132" s="58" t="s">
        <v>88</v>
      </c>
      <c r="B132" s="7" t="s">
        <v>30</v>
      </c>
      <c r="C132" s="16">
        <v>2</v>
      </c>
      <c r="D132" s="16">
        <v>1</v>
      </c>
      <c r="E132" s="16">
        <v>1</v>
      </c>
      <c r="F132" s="16">
        <v>87</v>
      </c>
      <c r="G132" s="7" t="s">
        <v>21</v>
      </c>
      <c r="H132" s="30">
        <f>SQRT(9.8^2+10.5^2)</f>
        <v>14.362799170078235</v>
      </c>
      <c r="I132" s="21">
        <v>12.2</v>
      </c>
      <c r="J132" s="82">
        <v>0.93010000000000004</v>
      </c>
      <c r="K132" s="81">
        <f t="shared" si="8"/>
        <v>130.77294119959646</v>
      </c>
      <c r="L132" s="81">
        <f t="shared" si="9"/>
        <v>162.36370241646219</v>
      </c>
      <c r="M132" s="82">
        <v>0.9</v>
      </c>
      <c r="N132" s="99">
        <f t="shared" si="10"/>
        <v>126.64080072405329</v>
      </c>
      <c r="O132" s="99">
        <f t="shared" si="11"/>
        <v>156.71180100267483</v>
      </c>
      <c r="P132" s="58">
        <v>24</v>
      </c>
    </row>
    <row r="133" spans="1:16" x14ac:dyDescent="0.3">
      <c r="A133" s="58" t="s">
        <v>88</v>
      </c>
      <c r="B133" s="7" t="s">
        <v>30</v>
      </c>
      <c r="C133" s="16">
        <v>2</v>
      </c>
      <c r="D133" s="16">
        <v>1</v>
      </c>
      <c r="E133" s="16">
        <v>2</v>
      </c>
      <c r="F133" s="16">
        <v>109</v>
      </c>
      <c r="G133" s="7" t="s">
        <v>21</v>
      </c>
      <c r="H133" s="21">
        <v>11.9</v>
      </c>
      <c r="I133" s="21">
        <v>11.7</v>
      </c>
      <c r="J133" s="82">
        <v>0.93010000000000004</v>
      </c>
      <c r="K133" s="81">
        <f t="shared" si="8"/>
        <v>86.959506579336235</v>
      </c>
      <c r="L133" s="81">
        <f t="shared" si="9"/>
        <v>107.63150416427149</v>
      </c>
      <c r="M133" s="82">
        <v>0.9</v>
      </c>
      <c r="N133" s="99">
        <f t="shared" si="10"/>
        <v>84.211775331774092</v>
      </c>
      <c r="O133" s="99">
        <f t="shared" si="11"/>
        <v>103.88483762796794</v>
      </c>
      <c r="P133" s="58">
        <v>24</v>
      </c>
    </row>
    <row r="134" spans="1:16" s="98" customFormat="1" x14ac:dyDescent="0.3">
      <c r="A134" s="89" t="s">
        <v>139</v>
      </c>
      <c r="B134" s="90" t="s">
        <v>20</v>
      </c>
      <c r="C134" s="91">
        <v>2</v>
      </c>
      <c r="D134" s="91">
        <v>1</v>
      </c>
      <c r="E134" s="91">
        <v>2</v>
      </c>
      <c r="F134" s="91">
        <v>67</v>
      </c>
      <c r="G134" s="90" t="s">
        <v>65</v>
      </c>
      <c r="H134" s="91">
        <v>10.5</v>
      </c>
      <c r="I134" s="91">
        <v>4</v>
      </c>
      <c r="J134" s="95">
        <v>0.51910000000000001</v>
      </c>
      <c r="K134" s="96">
        <f t="shared" si="8"/>
        <v>13.522971468286011</v>
      </c>
      <c r="L134" s="96">
        <f t="shared" si="9"/>
        <v>30.618286134305258</v>
      </c>
      <c r="M134" s="95">
        <v>0.65178049999999998</v>
      </c>
      <c r="N134" s="97">
        <f t="shared" si="10"/>
        <v>16.886904911263681</v>
      </c>
      <c r="O134" s="97">
        <f t="shared" si="11"/>
        <v>39.123949282221972</v>
      </c>
      <c r="P134" s="89">
        <v>25</v>
      </c>
    </row>
    <row r="135" spans="1:16" s="98" customFormat="1" x14ac:dyDescent="0.3">
      <c r="A135" s="89" t="s">
        <v>139</v>
      </c>
      <c r="B135" s="90" t="s">
        <v>59</v>
      </c>
      <c r="C135" s="91">
        <v>2</v>
      </c>
      <c r="D135" s="91">
        <v>1</v>
      </c>
      <c r="E135" s="91">
        <v>1</v>
      </c>
      <c r="F135" s="91">
        <v>275</v>
      </c>
      <c r="G135" s="90" t="s">
        <v>65</v>
      </c>
      <c r="H135" s="92">
        <f>SQRT(8.4^2+10.4^2+11.3^2)</f>
        <v>17.504570831642802</v>
      </c>
      <c r="I135" s="91">
        <v>6.8</v>
      </c>
      <c r="J135" s="95">
        <v>0.51910000000000001</v>
      </c>
      <c r="K135" s="96">
        <f t="shared" si="8"/>
        <v>61.554588395465302</v>
      </c>
      <c r="L135" s="96">
        <f t="shared" si="9"/>
        <v>107.81363425663409</v>
      </c>
      <c r="M135" s="95">
        <v>0.65178049999999998</v>
      </c>
      <c r="N135" s="97">
        <f t="shared" si="10"/>
        <v>76.866721454226806</v>
      </c>
      <c r="O135" s="97">
        <f t="shared" si="11"/>
        <v>137.76392120989931</v>
      </c>
      <c r="P135" s="89">
        <v>25</v>
      </c>
    </row>
    <row r="136" spans="1:16" s="98" customFormat="1" x14ac:dyDescent="0.3">
      <c r="A136" s="89" t="s">
        <v>139</v>
      </c>
      <c r="B136" s="90" t="s">
        <v>59</v>
      </c>
      <c r="C136" s="91">
        <v>2</v>
      </c>
      <c r="D136" s="91">
        <v>1</v>
      </c>
      <c r="E136" s="91">
        <v>2</v>
      </c>
      <c r="F136" s="91">
        <v>291</v>
      </c>
      <c r="G136" s="90" t="s">
        <v>65</v>
      </c>
      <c r="H136" s="92">
        <f>SQRT(7.3^2+11.2^2)</f>
        <v>13.36899397860587</v>
      </c>
      <c r="I136" s="91">
        <v>7.5</v>
      </c>
      <c r="J136" s="95">
        <v>0.51910000000000001</v>
      </c>
      <c r="K136" s="96">
        <f t="shared" si="8"/>
        <v>40.022533601933993</v>
      </c>
      <c r="L136" s="96">
        <f t="shared" si="9"/>
        <v>63.119013733261667</v>
      </c>
      <c r="M136" s="95">
        <v>0.65178049999999998</v>
      </c>
      <c r="N136" s="97">
        <f t="shared" si="10"/>
        <v>49.978417896446096</v>
      </c>
      <c r="O136" s="97">
        <f t="shared" si="11"/>
        <v>80.653276320295745</v>
      </c>
      <c r="P136" s="89">
        <v>25</v>
      </c>
    </row>
    <row r="137" spans="1:16" s="98" customFormat="1" x14ac:dyDescent="0.3">
      <c r="A137" s="89" t="s">
        <v>139</v>
      </c>
      <c r="B137" s="90" t="s">
        <v>59</v>
      </c>
      <c r="C137" s="91">
        <v>2</v>
      </c>
      <c r="D137" s="91">
        <v>2</v>
      </c>
      <c r="E137" s="91">
        <v>1</v>
      </c>
      <c r="F137" s="91">
        <v>559</v>
      </c>
      <c r="G137" s="90" t="s">
        <v>65</v>
      </c>
      <c r="H137" s="92">
        <f>SQRT(5.7^2+6.5^2+4.7^2+6.7^2+10.1^2)</f>
        <v>15.611854470241516</v>
      </c>
      <c r="I137" s="91">
        <v>8</v>
      </c>
      <c r="J137" s="95">
        <v>0.51910000000000001</v>
      </c>
      <c r="K137" s="96">
        <f t="shared" si="8"/>
        <v>57.695118339724125</v>
      </c>
      <c r="L137" s="96">
        <f t="shared" si="9"/>
        <v>89.497445109058859</v>
      </c>
      <c r="M137" s="95">
        <v>0.65178049999999998</v>
      </c>
      <c r="N137" s="97">
        <f t="shared" si="10"/>
        <v>72.047181311587408</v>
      </c>
      <c r="O137" s="97">
        <f t="shared" si="11"/>
        <v>114.35955258815515</v>
      </c>
      <c r="P137" s="89">
        <v>25</v>
      </c>
    </row>
    <row r="138" spans="1:16" s="98" customFormat="1" x14ac:dyDescent="0.3">
      <c r="A138" s="89" t="s">
        <v>139</v>
      </c>
      <c r="B138" s="90" t="s">
        <v>59</v>
      </c>
      <c r="C138" s="91">
        <v>2</v>
      </c>
      <c r="D138" s="91">
        <v>2</v>
      </c>
      <c r="E138" s="91">
        <v>1</v>
      </c>
      <c r="F138" s="91">
        <v>563</v>
      </c>
      <c r="G138" s="90" t="s">
        <v>65</v>
      </c>
      <c r="H138" s="92">
        <f>SQRT(8.5^2+6.1^2+6.5^2+6^2+12.1^2)</f>
        <v>18.278949641595929</v>
      </c>
      <c r="I138" s="91">
        <v>6.4</v>
      </c>
      <c r="J138" s="95">
        <v>0.51910000000000001</v>
      </c>
      <c r="K138" s="96">
        <f t="shared" si="8"/>
        <v>63.133597392243544</v>
      </c>
      <c r="L138" s="96">
        <f t="shared" si="9"/>
        <v>115.71491991272663</v>
      </c>
      <c r="M138" s="95">
        <v>0.65178049999999998</v>
      </c>
      <c r="N138" s="97">
        <f t="shared" si="10"/>
        <v>78.838519948748413</v>
      </c>
      <c r="O138" s="97">
        <f t="shared" si="11"/>
        <v>147.8601590566989</v>
      </c>
      <c r="P138" s="89">
        <v>25</v>
      </c>
    </row>
    <row r="139" spans="1:16" s="98" customFormat="1" x14ac:dyDescent="0.3">
      <c r="A139" s="89" t="s">
        <v>139</v>
      </c>
      <c r="B139" s="90" t="s">
        <v>59</v>
      </c>
      <c r="C139" s="91">
        <v>2</v>
      </c>
      <c r="D139" s="91">
        <v>2</v>
      </c>
      <c r="E139" s="91">
        <v>2</v>
      </c>
      <c r="F139" s="91">
        <v>570</v>
      </c>
      <c r="G139" s="90" t="s">
        <v>65</v>
      </c>
      <c r="H139" s="91">
        <v>10.4</v>
      </c>
      <c r="I139" s="91">
        <v>5.5</v>
      </c>
      <c r="J139" s="95">
        <v>0.51910000000000001</v>
      </c>
      <c r="K139" s="96">
        <f t="shared" si="8"/>
        <v>18.111029237137078</v>
      </c>
      <c r="L139" s="96">
        <f t="shared" si="9"/>
        <v>33.437570848897138</v>
      </c>
      <c r="M139" s="95">
        <v>0.65178049999999998</v>
      </c>
      <c r="N139" s="97">
        <f t="shared" si="10"/>
        <v>22.616274040798093</v>
      </c>
      <c r="O139" s="97">
        <f t="shared" si="11"/>
        <v>42.726422382839203</v>
      </c>
      <c r="P139" s="89">
        <v>25</v>
      </c>
    </row>
    <row r="140" spans="1:16" x14ac:dyDescent="0.3">
      <c r="A140" s="58" t="s">
        <v>140</v>
      </c>
      <c r="B140" s="7" t="s">
        <v>30</v>
      </c>
      <c r="C140" s="16">
        <v>1</v>
      </c>
      <c r="D140" s="16">
        <v>1</v>
      </c>
      <c r="E140" s="16">
        <v>2</v>
      </c>
      <c r="F140" s="16">
        <v>1314</v>
      </c>
      <c r="G140" s="7" t="s">
        <v>21</v>
      </c>
      <c r="H140" s="21">
        <v>16.5</v>
      </c>
      <c r="I140" s="21">
        <v>15.3</v>
      </c>
      <c r="J140" s="82">
        <v>0.70430000000000004</v>
      </c>
      <c r="K140" s="81">
        <f t="shared" si="8"/>
        <v>163.00993103366179</v>
      </c>
      <c r="L140" s="81">
        <f t="shared" si="9"/>
        <v>174.16742872062298</v>
      </c>
      <c r="M140" s="82">
        <v>0.68207999999999991</v>
      </c>
      <c r="N140" s="99">
        <f t="shared" si="10"/>
        <v>157.98862797152051</v>
      </c>
      <c r="O140" s="99">
        <f t="shared" si="11"/>
        <v>168.25676879644305</v>
      </c>
      <c r="P140" s="58">
        <v>26</v>
      </c>
    </row>
    <row r="141" spans="1:16" x14ac:dyDescent="0.3">
      <c r="A141" s="58" t="s">
        <v>140</v>
      </c>
      <c r="B141" s="7" t="s">
        <v>30</v>
      </c>
      <c r="C141" s="16">
        <v>1</v>
      </c>
      <c r="D141" s="16">
        <v>1</v>
      </c>
      <c r="E141" s="16">
        <v>1</v>
      </c>
      <c r="F141" s="16">
        <v>1306</v>
      </c>
      <c r="G141" s="7" t="s">
        <v>21</v>
      </c>
      <c r="H141" s="21">
        <v>24.6</v>
      </c>
      <c r="I141" s="21">
        <v>17.5</v>
      </c>
      <c r="J141" s="82">
        <v>0.70430000000000004</v>
      </c>
      <c r="K141" s="81">
        <f t="shared" si="8"/>
        <v>405.26307247286388</v>
      </c>
      <c r="L141" s="81">
        <f t="shared" si="9"/>
        <v>423.43499149178297</v>
      </c>
      <c r="M141" s="82">
        <v>0.68207999999999991</v>
      </c>
      <c r="N141" s="99">
        <f t="shared" si="10"/>
        <v>392.77948516087037</v>
      </c>
      <c r="O141" s="99">
        <f t="shared" si="11"/>
        <v>409.06502431083209</v>
      </c>
      <c r="P141" s="58">
        <v>26</v>
      </c>
    </row>
    <row r="142" spans="1:16" x14ac:dyDescent="0.3">
      <c r="A142" s="58" t="s">
        <v>140</v>
      </c>
      <c r="B142" s="7" t="s">
        <v>20</v>
      </c>
      <c r="C142" s="16">
        <v>1</v>
      </c>
      <c r="D142" s="16">
        <v>2</v>
      </c>
      <c r="E142" s="16">
        <v>2</v>
      </c>
      <c r="F142" s="16">
        <v>7469</v>
      </c>
      <c r="G142" s="7" t="s">
        <v>21</v>
      </c>
      <c r="H142" s="21">
        <v>28.6</v>
      </c>
      <c r="I142" s="21">
        <v>20.2</v>
      </c>
      <c r="J142" s="82">
        <v>0.70430000000000004</v>
      </c>
      <c r="K142" s="81">
        <f t="shared" si="8"/>
        <v>625.57012666016783</v>
      </c>
      <c r="L142" s="81">
        <f t="shared" si="9"/>
        <v>610.9877838869528</v>
      </c>
      <c r="M142" s="82">
        <v>0.68207999999999991</v>
      </c>
      <c r="N142" s="99">
        <f t="shared" si="10"/>
        <v>606.30027498509321</v>
      </c>
      <c r="O142" s="99">
        <f t="shared" si="11"/>
        <v>590.25290231402118</v>
      </c>
      <c r="P142" s="58">
        <v>26</v>
      </c>
    </row>
    <row r="143" spans="1:16" x14ac:dyDescent="0.3">
      <c r="A143" s="58" t="s">
        <v>140</v>
      </c>
      <c r="B143" s="7" t="s">
        <v>26</v>
      </c>
      <c r="C143" s="16">
        <v>2</v>
      </c>
      <c r="D143" s="16">
        <v>3</v>
      </c>
      <c r="E143" s="16">
        <v>1</v>
      </c>
      <c r="F143" s="16">
        <v>651</v>
      </c>
      <c r="G143" s="7" t="s">
        <v>21</v>
      </c>
      <c r="H143" s="21">
        <v>11.8</v>
      </c>
      <c r="I143" s="21">
        <v>9.5</v>
      </c>
      <c r="J143" s="82">
        <v>0.70430000000000004</v>
      </c>
      <c r="K143" s="81">
        <f t="shared" si="8"/>
        <v>53.210640319986737</v>
      </c>
      <c r="L143" s="81">
        <f t="shared" si="9"/>
        <v>73.009234135380382</v>
      </c>
      <c r="M143" s="82">
        <v>0.68207999999999991</v>
      </c>
      <c r="N143" s="99">
        <f t="shared" si="10"/>
        <v>51.571557661138968</v>
      </c>
      <c r="O143" s="99">
        <f t="shared" si="11"/>
        <v>70.531544951650901</v>
      </c>
      <c r="P143" s="58">
        <v>26</v>
      </c>
    </row>
    <row r="144" spans="1:16" x14ac:dyDescent="0.3">
      <c r="A144" s="58" t="s">
        <v>140</v>
      </c>
      <c r="B144" s="7" t="s">
        <v>20</v>
      </c>
      <c r="C144" s="16">
        <v>2</v>
      </c>
      <c r="D144" s="16">
        <v>3</v>
      </c>
      <c r="E144" s="16">
        <v>1</v>
      </c>
      <c r="F144" s="16">
        <v>714</v>
      </c>
      <c r="G144" s="7" t="s">
        <v>21</v>
      </c>
      <c r="H144" s="21">
        <v>32.700000000000003</v>
      </c>
      <c r="I144" s="21">
        <v>11.9</v>
      </c>
      <c r="J144" s="82">
        <v>0.70430000000000004</v>
      </c>
      <c r="K144" s="81">
        <f t="shared" si="8"/>
        <v>484.79442353180588</v>
      </c>
      <c r="L144" s="81">
        <f t="shared" si="9"/>
        <v>677.11503391744316</v>
      </c>
      <c r="M144" s="82">
        <v>0.68207999999999991</v>
      </c>
      <c r="N144" s="99">
        <f t="shared" si="10"/>
        <v>469.86097924437422</v>
      </c>
      <c r="O144" s="99">
        <f t="shared" si="11"/>
        <v>654.13601468041134</v>
      </c>
      <c r="P144" s="58">
        <v>26</v>
      </c>
    </row>
    <row r="145" spans="1:16" x14ac:dyDescent="0.3">
      <c r="A145" s="58" t="s">
        <v>140</v>
      </c>
      <c r="B145" s="7" t="s">
        <v>44</v>
      </c>
      <c r="C145" s="16">
        <v>2</v>
      </c>
      <c r="D145" s="16">
        <v>2</v>
      </c>
      <c r="E145" s="16">
        <v>1</v>
      </c>
      <c r="F145" s="16">
        <v>359</v>
      </c>
      <c r="G145" s="7" t="s">
        <v>21</v>
      </c>
      <c r="H145" s="21">
        <v>38.6</v>
      </c>
      <c r="I145" s="21">
        <v>19.8</v>
      </c>
      <c r="J145" s="82">
        <v>0.70430000000000004</v>
      </c>
      <c r="K145" s="81">
        <f t="shared" si="8"/>
        <v>1101.514484947533</v>
      </c>
      <c r="L145" s="81">
        <f t="shared" si="9"/>
        <v>1142.4734310437091</v>
      </c>
      <c r="M145" s="82">
        <v>0.68207999999999991</v>
      </c>
      <c r="N145" s="99">
        <f t="shared" si="10"/>
        <v>1067.5838034167382</v>
      </c>
      <c r="O145" s="99">
        <f t="shared" si="11"/>
        <v>1103.7017044762674</v>
      </c>
      <c r="P145" s="58">
        <v>26</v>
      </c>
    </row>
    <row r="146" spans="1:16" s="98" customFormat="1" x14ac:dyDescent="0.3">
      <c r="A146" s="89" t="s">
        <v>141</v>
      </c>
      <c r="B146" s="90" t="s">
        <v>30</v>
      </c>
      <c r="C146" s="91">
        <v>1</v>
      </c>
      <c r="D146" s="91">
        <v>1</v>
      </c>
      <c r="E146" s="91">
        <v>1</v>
      </c>
      <c r="F146" s="91">
        <v>1303</v>
      </c>
      <c r="G146" s="90" t="s">
        <v>71</v>
      </c>
      <c r="H146" s="92">
        <f>SQRT(13^2 + 23^2)</f>
        <v>26.419689627245813</v>
      </c>
      <c r="I146" s="91">
        <v>16.7</v>
      </c>
      <c r="J146" s="95">
        <v>0.4884</v>
      </c>
      <c r="K146" s="96">
        <f t="shared" si="8"/>
        <v>311.33953474935271</v>
      </c>
      <c r="L146" s="96">
        <f t="shared" si="9"/>
        <v>326.62404498329374</v>
      </c>
      <c r="M146" s="95">
        <v>0.49</v>
      </c>
      <c r="N146" s="97">
        <f t="shared" si="10"/>
        <v>312.33496621079212</v>
      </c>
      <c r="O146" s="97">
        <f t="shared" si="11"/>
        <v>327.77660327879636</v>
      </c>
      <c r="P146" s="89">
        <v>27</v>
      </c>
    </row>
    <row r="147" spans="1:16" s="98" customFormat="1" x14ac:dyDescent="0.3">
      <c r="A147" s="89" t="s">
        <v>141</v>
      </c>
      <c r="B147" s="90" t="s">
        <v>38</v>
      </c>
      <c r="C147" s="91">
        <v>1</v>
      </c>
      <c r="D147" s="91">
        <v>3</v>
      </c>
      <c r="E147" s="91">
        <v>2</v>
      </c>
      <c r="F147" s="91">
        <v>1622</v>
      </c>
      <c r="G147" s="90" t="s">
        <v>71</v>
      </c>
      <c r="H147" s="92">
        <f>SQRT(12.3^2 + 1.9^2)</f>
        <v>12.445882853377659</v>
      </c>
      <c r="I147" s="91">
        <v>11.5</v>
      </c>
      <c r="J147" s="95">
        <v>0.4884</v>
      </c>
      <c r="K147" s="96">
        <f t="shared" si="8"/>
        <v>49.772720549307543</v>
      </c>
      <c r="L147" s="96">
        <f t="shared" si="9"/>
        <v>58.775805990361995</v>
      </c>
      <c r="M147" s="95">
        <v>0.49</v>
      </c>
      <c r="N147" s="97">
        <f t="shared" si="10"/>
        <v>49.931856561366224</v>
      </c>
      <c r="O147" s="97">
        <f t="shared" si="11"/>
        <v>58.98320818199339</v>
      </c>
      <c r="P147" s="89">
        <v>27</v>
      </c>
    </row>
    <row r="148" spans="1:16" s="98" customFormat="1" x14ac:dyDescent="0.3">
      <c r="A148" s="89" t="s">
        <v>141</v>
      </c>
      <c r="B148" s="90" t="s">
        <v>30</v>
      </c>
      <c r="C148" s="91">
        <v>1</v>
      </c>
      <c r="D148" s="91">
        <v>2</v>
      </c>
      <c r="E148" s="91">
        <v>1</v>
      </c>
      <c r="F148" s="91">
        <v>4960</v>
      </c>
      <c r="G148" s="90" t="s">
        <v>71</v>
      </c>
      <c r="H148" s="91">
        <v>17.399999999999999</v>
      </c>
      <c r="I148" s="91">
        <v>12.7</v>
      </c>
      <c r="J148" s="95">
        <v>0.4884</v>
      </c>
      <c r="K148" s="96">
        <f t="shared" si="8"/>
        <v>105.46896109187784</v>
      </c>
      <c r="L148" s="96">
        <f t="shared" si="9"/>
        <v>123.28472218491267</v>
      </c>
      <c r="M148" s="95">
        <v>0.49</v>
      </c>
      <c r="N148" s="97">
        <f t="shared" si="10"/>
        <v>105.80617211186824</v>
      </c>
      <c r="O148" s="97">
        <f t="shared" si="11"/>
        <v>123.71975699464392</v>
      </c>
      <c r="P148" s="89">
        <v>27</v>
      </c>
    </row>
    <row r="149" spans="1:16" s="98" customFormat="1" x14ac:dyDescent="0.3">
      <c r="A149" s="89" t="s">
        <v>141</v>
      </c>
      <c r="B149" s="90" t="s">
        <v>30</v>
      </c>
      <c r="C149" s="91">
        <v>2</v>
      </c>
      <c r="D149" s="91">
        <v>1</v>
      </c>
      <c r="E149" s="91">
        <v>1</v>
      </c>
      <c r="F149" s="93">
        <v>85</v>
      </c>
      <c r="G149" s="90" t="s">
        <v>71</v>
      </c>
      <c r="H149" s="92">
        <f>SQRT(12.7^2+16.1^2+17.1^2)</f>
        <v>26.700374529208389</v>
      </c>
      <c r="I149" s="91">
        <v>13.1</v>
      </c>
      <c r="J149" s="95">
        <v>0.4884</v>
      </c>
      <c r="K149" s="96">
        <f t="shared" si="8"/>
        <v>250.77183737346829</v>
      </c>
      <c r="L149" s="96">
        <f t="shared" si="9"/>
        <v>307.52536160860586</v>
      </c>
      <c r="M149" s="95">
        <v>0.49</v>
      </c>
      <c r="N149" s="97">
        <f t="shared" si="10"/>
        <v>251.57361854387278</v>
      </c>
      <c r="O149" s="97">
        <f t="shared" si="11"/>
        <v>308.6105263784487</v>
      </c>
      <c r="P149" s="89">
        <v>27</v>
      </c>
    </row>
    <row r="150" spans="1:16" s="98" customFormat="1" x14ac:dyDescent="0.3">
      <c r="A150" s="89" t="s">
        <v>141</v>
      </c>
      <c r="B150" s="90" t="s">
        <v>30</v>
      </c>
      <c r="C150" s="91">
        <v>2</v>
      </c>
      <c r="D150" s="91">
        <v>1</v>
      </c>
      <c r="E150" s="91">
        <v>1</v>
      </c>
      <c r="F150" s="93">
        <v>86</v>
      </c>
      <c r="G150" s="90" t="s">
        <v>71</v>
      </c>
      <c r="H150" s="91">
        <v>10.199999999999999</v>
      </c>
      <c r="I150" s="91">
        <v>9.5</v>
      </c>
      <c r="J150" s="95">
        <v>0.4884</v>
      </c>
      <c r="K150" s="96">
        <f t="shared" si="8"/>
        <v>28.00953363680248</v>
      </c>
      <c r="L150" s="96">
        <f t="shared" si="9"/>
        <v>36.193407292834834</v>
      </c>
      <c r="M150" s="95">
        <v>0.49</v>
      </c>
      <c r="N150" s="97">
        <f t="shared" si="10"/>
        <v>28.099087220239209</v>
      </c>
      <c r="O150" s="97">
        <f t="shared" si="11"/>
        <v>36.321122972248453</v>
      </c>
      <c r="P150" s="89">
        <v>27</v>
      </c>
    </row>
    <row r="151" spans="1:16" s="98" customFormat="1" x14ac:dyDescent="0.3">
      <c r="A151" s="89" t="s">
        <v>141</v>
      </c>
      <c r="B151" s="90" t="s">
        <v>30</v>
      </c>
      <c r="C151" s="91">
        <v>2</v>
      </c>
      <c r="D151" s="91">
        <v>2</v>
      </c>
      <c r="E151" s="91">
        <v>0</v>
      </c>
      <c r="F151" s="91">
        <v>800</v>
      </c>
      <c r="G151" s="90" t="s">
        <v>71</v>
      </c>
      <c r="H151" s="91">
        <v>14.6</v>
      </c>
      <c r="I151" s="91">
        <v>6.5</v>
      </c>
      <c r="J151" s="95">
        <v>0.4884</v>
      </c>
      <c r="K151" s="96">
        <f t="shared" si="8"/>
        <v>38.947565319166145</v>
      </c>
      <c r="L151" s="96">
        <f t="shared" si="9"/>
        <v>67.800383254980375</v>
      </c>
      <c r="M151" s="95">
        <v>0.49</v>
      </c>
      <c r="N151" s="97">
        <f t="shared" si="10"/>
        <v>39.072090564237833</v>
      </c>
      <c r="O151" s="97">
        <f t="shared" si="11"/>
        <v>68.039630473178235</v>
      </c>
      <c r="P151" s="89">
        <v>27</v>
      </c>
    </row>
    <row r="152" spans="1:16" ht="15.75" customHeight="1" x14ac:dyDescent="0.3">
      <c r="A152" s="58" t="s">
        <v>142</v>
      </c>
      <c r="B152" s="7" t="s">
        <v>38</v>
      </c>
      <c r="C152" s="16">
        <v>1</v>
      </c>
      <c r="D152" s="16">
        <v>1</v>
      </c>
      <c r="E152" s="16"/>
      <c r="F152" s="16">
        <v>337</v>
      </c>
      <c r="G152" s="19" t="s">
        <v>21</v>
      </c>
      <c r="H152" s="21">
        <v>46.2</v>
      </c>
      <c r="I152" s="21">
        <v>20.5</v>
      </c>
      <c r="J152" s="82">
        <v>0.38719999999999999</v>
      </c>
      <c r="K152" s="81">
        <f t="shared" si="8"/>
        <v>902.59488733238015</v>
      </c>
      <c r="L152" s="81">
        <f t="shared" si="9"/>
        <v>886.83526147999282</v>
      </c>
      <c r="M152" s="82">
        <v>0.33799999999999997</v>
      </c>
      <c r="N152" s="99">
        <f t="shared" si="10"/>
        <v>790.47960336155995</v>
      </c>
      <c r="O152" s="99">
        <f t="shared" si="11"/>
        <v>766.09013246785617</v>
      </c>
      <c r="P152" s="58">
        <v>28</v>
      </c>
    </row>
    <row r="153" spans="1:16" x14ac:dyDescent="0.3">
      <c r="A153" s="58" t="s">
        <v>142</v>
      </c>
      <c r="B153" s="7" t="s">
        <v>30</v>
      </c>
      <c r="C153" s="16">
        <v>1</v>
      </c>
      <c r="D153" s="16">
        <v>1</v>
      </c>
      <c r="E153" s="16"/>
      <c r="F153" s="16">
        <v>192</v>
      </c>
      <c r="G153" s="19" t="s">
        <v>21</v>
      </c>
      <c r="H153" s="21">
        <v>29.5</v>
      </c>
      <c r="I153" s="21">
        <v>21.3</v>
      </c>
      <c r="J153" s="82">
        <v>0.38719999999999999</v>
      </c>
      <c r="K153" s="81">
        <f t="shared" si="8"/>
        <v>390.32919205380648</v>
      </c>
      <c r="L153" s="81">
        <f t="shared" si="9"/>
        <v>348.67883838988615</v>
      </c>
      <c r="M153" s="82">
        <v>0.33799999999999997</v>
      </c>
      <c r="N153" s="99">
        <f t="shared" si="10"/>
        <v>341.84468496940337</v>
      </c>
      <c r="O153" s="99">
        <f t="shared" si="11"/>
        <v>301.20522840404965</v>
      </c>
      <c r="P153" s="58">
        <v>28</v>
      </c>
    </row>
    <row r="154" spans="1:16" x14ac:dyDescent="0.3">
      <c r="A154" s="58" t="s">
        <v>142</v>
      </c>
      <c r="B154" s="7" t="s">
        <v>30</v>
      </c>
      <c r="C154" s="16">
        <v>1</v>
      </c>
      <c r="D154" s="16">
        <v>1</v>
      </c>
      <c r="E154" s="16"/>
      <c r="F154" s="16">
        <v>217</v>
      </c>
      <c r="G154" s="19" t="s">
        <v>21</v>
      </c>
      <c r="H154" s="21">
        <v>20.7</v>
      </c>
      <c r="I154" s="21">
        <v>11.7</v>
      </c>
      <c r="J154" s="82">
        <v>0.38719999999999999</v>
      </c>
      <c r="K154" s="81">
        <f t="shared" si="8"/>
        <v>108.93400724789517</v>
      </c>
      <c r="L154" s="81">
        <f t="shared" si="9"/>
        <v>134.68917522557291</v>
      </c>
      <c r="M154" s="82">
        <v>0.33799999999999997</v>
      </c>
      <c r="N154" s="99">
        <f t="shared" si="10"/>
        <v>95.402834705168829</v>
      </c>
      <c r="O154" s="99">
        <f t="shared" si="11"/>
        <v>116.35086308853698</v>
      </c>
      <c r="P154" s="58">
        <v>28</v>
      </c>
    </row>
    <row r="155" spans="1:16" x14ac:dyDescent="0.3">
      <c r="A155" s="58" t="s">
        <v>142</v>
      </c>
      <c r="B155" s="19" t="s">
        <v>38</v>
      </c>
      <c r="C155" s="22">
        <v>2</v>
      </c>
      <c r="D155" s="22">
        <v>3</v>
      </c>
      <c r="E155" s="22">
        <v>1</v>
      </c>
      <c r="F155" s="22">
        <v>615</v>
      </c>
      <c r="G155" s="19" t="s">
        <v>21</v>
      </c>
      <c r="H155" s="21">
        <v>35</v>
      </c>
      <c r="I155" s="21">
        <v>16.600000000000001</v>
      </c>
      <c r="J155" s="82">
        <v>0.38719999999999999</v>
      </c>
      <c r="K155" s="81">
        <f t="shared" si="8"/>
        <v>427.25414133730578</v>
      </c>
      <c r="L155" s="81">
        <f t="shared" si="9"/>
        <v>459.48611810577461</v>
      </c>
      <c r="M155" s="82">
        <v>0.33799999999999997</v>
      </c>
      <c r="N155" s="99">
        <f t="shared" si="10"/>
        <v>374.18302376725774</v>
      </c>
      <c r="O155" s="99">
        <f t="shared" si="11"/>
        <v>396.92578359970327</v>
      </c>
      <c r="P155" s="58">
        <v>28</v>
      </c>
    </row>
    <row r="156" spans="1:16" x14ac:dyDescent="0.3">
      <c r="A156" s="58" t="s">
        <v>142</v>
      </c>
      <c r="B156" s="7" t="s">
        <v>38</v>
      </c>
      <c r="C156" s="16">
        <v>2</v>
      </c>
      <c r="D156" s="16">
        <v>3</v>
      </c>
      <c r="E156" s="16"/>
      <c r="F156" s="16">
        <v>353</v>
      </c>
      <c r="G156" s="19" t="s">
        <v>21</v>
      </c>
      <c r="H156" s="21">
        <v>26.9</v>
      </c>
      <c r="I156" s="21">
        <v>16.100000000000001</v>
      </c>
      <c r="J156" s="82">
        <v>0.38719999999999999</v>
      </c>
      <c r="K156" s="81">
        <f t="shared" si="8"/>
        <v>248.07241243632174</v>
      </c>
      <c r="L156" s="81">
        <f t="shared" si="9"/>
        <v>260.94572135128686</v>
      </c>
      <c r="M156" s="82">
        <v>0.33799999999999997</v>
      </c>
      <c r="N156" s="99">
        <f t="shared" si="10"/>
        <v>217.25824612985713</v>
      </c>
      <c r="O156" s="99">
        <f t="shared" si="11"/>
        <v>225.41722337845698</v>
      </c>
      <c r="P156" s="58">
        <v>28</v>
      </c>
    </row>
    <row r="157" spans="1:16" s="98" customFormat="1" x14ac:dyDescent="0.3">
      <c r="A157" s="89" t="s">
        <v>143</v>
      </c>
      <c r="B157" s="90" t="s">
        <v>30</v>
      </c>
      <c r="C157" s="91">
        <v>2</v>
      </c>
      <c r="D157" s="91">
        <v>3</v>
      </c>
      <c r="E157" s="91">
        <v>1</v>
      </c>
      <c r="F157" s="91">
        <v>586</v>
      </c>
      <c r="G157" s="90" t="s">
        <v>21</v>
      </c>
      <c r="H157" s="91">
        <v>10.6</v>
      </c>
      <c r="I157" s="91">
        <v>9.8000000000000007</v>
      </c>
      <c r="J157" s="95">
        <v>0.68059999999999998</v>
      </c>
      <c r="K157" s="96">
        <f t="shared" si="8"/>
        <v>43.028013992367512</v>
      </c>
      <c r="L157" s="96">
        <f t="shared" si="9"/>
        <v>56.712992934780644</v>
      </c>
      <c r="M157" s="95">
        <v>0.62785666666666673</v>
      </c>
      <c r="N157" s="97">
        <f t="shared" si="10"/>
        <v>39.770460607993066</v>
      </c>
      <c r="O157" s="97">
        <f t="shared" si="11"/>
        <v>51.994057705303653</v>
      </c>
      <c r="P157" s="89">
        <v>29</v>
      </c>
    </row>
    <row r="158" spans="1:16" s="98" customFormat="1" x14ac:dyDescent="0.3">
      <c r="A158" s="89" t="s">
        <v>143</v>
      </c>
      <c r="B158" s="90" t="s">
        <v>30</v>
      </c>
      <c r="C158" s="91">
        <v>2</v>
      </c>
      <c r="D158" s="91">
        <v>3</v>
      </c>
      <c r="E158" s="91">
        <v>1</v>
      </c>
      <c r="F158" s="91">
        <v>592</v>
      </c>
      <c r="G158" s="90" t="s">
        <v>21</v>
      </c>
      <c r="H158" s="91">
        <v>31.8</v>
      </c>
      <c r="I158" s="91">
        <v>12.6</v>
      </c>
      <c r="J158" s="95">
        <v>0.68059999999999998</v>
      </c>
      <c r="K158" s="96">
        <f t="shared" si="8"/>
        <v>469.47988826952002</v>
      </c>
      <c r="L158" s="96">
        <f t="shared" si="9"/>
        <v>627.3610244373258</v>
      </c>
      <c r="M158" s="95">
        <v>0.62785666666666673</v>
      </c>
      <c r="N158" s="97">
        <f t="shared" si="10"/>
        <v>433.93663035388829</v>
      </c>
      <c r="O158" s="97">
        <f t="shared" si="11"/>
        <v>575.16000511847915</v>
      </c>
      <c r="P158" s="89">
        <v>29</v>
      </c>
    </row>
    <row r="159" spans="1:16" s="98" customFormat="1" x14ac:dyDescent="0.3">
      <c r="A159" s="89" t="s">
        <v>143</v>
      </c>
      <c r="B159" s="90" t="s">
        <v>30</v>
      </c>
      <c r="C159" s="91">
        <v>2</v>
      </c>
      <c r="D159" s="91">
        <v>3</v>
      </c>
      <c r="E159" s="91">
        <v>1</v>
      </c>
      <c r="F159" s="91">
        <v>594</v>
      </c>
      <c r="G159" s="90" t="s">
        <v>21</v>
      </c>
      <c r="H159" s="91">
        <v>30.5</v>
      </c>
      <c r="I159" s="91">
        <v>13.2</v>
      </c>
      <c r="J159" s="95">
        <v>0.68059999999999998</v>
      </c>
      <c r="K159" s="96">
        <f t="shared" si="8"/>
        <v>452.84653137864967</v>
      </c>
      <c r="L159" s="96">
        <f t="shared" si="9"/>
        <v>583.63069298421794</v>
      </c>
      <c r="M159" s="95">
        <v>0.62785666666666673</v>
      </c>
      <c r="N159" s="97">
        <f t="shared" si="10"/>
        <v>418.56254720135519</v>
      </c>
      <c r="O159" s="97">
        <f t="shared" si="11"/>
        <v>535.06835663750985</v>
      </c>
      <c r="P159" s="89">
        <v>29</v>
      </c>
    </row>
    <row r="160" spans="1:16" s="98" customFormat="1" x14ac:dyDescent="0.3">
      <c r="A160" s="89" t="s">
        <v>143</v>
      </c>
      <c r="B160" s="90" t="s">
        <v>44</v>
      </c>
      <c r="C160" s="91">
        <v>2</v>
      </c>
      <c r="D160" s="91">
        <v>3</v>
      </c>
      <c r="E160" s="91">
        <v>1</v>
      </c>
      <c r="F160" s="91">
        <v>699</v>
      </c>
      <c r="G160" s="90" t="s">
        <v>21</v>
      </c>
      <c r="H160" s="91">
        <v>10.199999999999999</v>
      </c>
      <c r="I160" s="91">
        <v>9.1999999999999993</v>
      </c>
      <c r="J160" s="95">
        <v>0.68059999999999998</v>
      </c>
      <c r="K160" s="96">
        <f t="shared" si="8"/>
        <v>37.52857352894037</v>
      </c>
      <c r="L160" s="96">
        <f t="shared" si="9"/>
        <v>51.180502945343228</v>
      </c>
      <c r="M160" s="95">
        <v>0.62785666666666673</v>
      </c>
      <c r="N160" s="97">
        <f t="shared" si="10"/>
        <v>34.687370313480976</v>
      </c>
      <c r="O160" s="97">
        <f t="shared" si="11"/>
        <v>46.921911290889817</v>
      </c>
      <c r="P160" s="89">
        <v>29</v>
      </c>
    </row>
    <row r="161" spans="1:16" s="98" customFormat="1" x14ac:dyDescent="0.3">
      <c r="A161" s="89" t="s">
        <v>143</v>
      </c>
      <c r="B161" s="90" t="s">
        <v>20</v>
      </c>
      <c r="C161" s="91">
        <v>2</v>
      </c>
      <c r="D161" s="91">
        <v>3</v>
      </c>
      <c r="E161" s="91">
        <v>1</v>
      </c>
      <c r="F161" s="91">
        <v>721</v>
      </c>
      <c r="G161" s="90" t="s">
        <v>21</v>
      </c>
      <c r="H161" s="92">
        <f>SQRT(16.2^2+14.1^2+11.9^2)</f>
        <v>24.553207529770933</v>
      </c>
      <c r="I161" s="91">
        <v>12.1</v>
      </c>
      <c r="J161" s="95">
        <v>0.68059999999999998</v>
      </c>
      <c r="K161" s="96">
        <f t="shared" si="8"/>
        <v>272.40018468422835</v>
      </c>
      <c r="L161" s="96">
        <f t="shared" si="9"/>
        <v>358.54669740758413</v>
      </c>
      <c r="M161" s="95">
        <v>0.62785666666666673</v>
      </c>
      <c r="N161" s="97">
        <f t="shared" si="10"/>
        <v>251.7773842993501</v>
      </c>
      <c r="O161" s="97">
        <f t="shared" si="11"/>
        <v>328.7129934492159</v>
      </c>
      <c r="P161" s="89">
        <v>29</v>
      </c>
    </row>
    <row r="162" spans="1:16" x14ac:dyDescent="0.3">
      <c r="A162" s="58" t="s">
        <v>144</v>
      </c>
      <c r="B162" s="19" t="s">
        <v>26</v>
      </c>
      <c r="C162" s="22">
        <v>1</v>
      </c>
      <c r="D162" s="22">
        <v>2</v>
      </c>
      <c r="E162" s="22">
        <v>2</v>
      </c>
      <c r="F162" s="22">
        <v>1360</v>
      </c>
      <c r="G162" s="19" t="s">
        <v>63</v>
      </c>
      <c r="H162" s="22">
        <v>10.7</v>
      </c>
      <c r="I162" s="22">
        <v>5.3</v>
      </c>
      <c r="J162" s="82">
        <v>0.2298</v>
      </c>
      <c r="K162" s="81">
        <f t="shared" si="8"/>
        <v>8.33571909174991</v>
      </c>
      <c r="L162" s="81">
        <f t="shared" si="9"/>
        <v>14.577170850480133</v>
      </c>
      <c r="M162" s="82">
        <v>0.16500000000000001</v>
      </c>
      <c r="N162" s="99">
        <f t="shared" si="10"/>
        <v>6.0329507025088036</v>
      </c>
      <c r="O162" s="99">
        <f t="shared" si="11"/>
        <v>10.203037329997912</v>
      </c>
      <c r="P162" s="58">
        <v>30</v>
      </c>
    </row>
    <row r="163" spans="1:16" x14ac:dyDescent="0.3">
      <c r="A163" s="58" t="s">
        <v>144</v>
      </c>
      <c r="B163" s="19" t="s">
        <v>20</v>
      </c>
      <c r="C163" s="22">
        <v>1</v>
      </c>
      <c r="D163" s="22">
        <v>2</v>
      </c>
      <c r="E163" s="22">
        <v>2</v>
      </c>
      <c r="F163" s="22">
        <v>7462</v>
      </c>
      <c r="G163" s="19" t="s">
        <v>63</v>
      </c>
      <c r="H163" s="22">
        <v>11.1</v>
      </c>
      <c r="I163" s="22">
        <v>6.6</v>
      </c>
      <c r="J163" s="82">
        <v>0.2298</v>
      </c>
      <c r="K163" s="81">
        <f t="shared" si="8"/>
        <v>11.092719308088157</v>
      </c>
      <c r="L163" s="81">
        <f t="shared" si="9"/>
        <v>16.970557152306814</v>
      </c>
      <c r="M163" s="82">
        <v>0.16500000000000001</v>
      </c>
      <c r="N163" s="99">
        <f t="shared" si="10"/>
        <v>8.0283210129642981</v>
      </c>
      <c r="O163" s="99">
        <f t="shared" si="11"/>
        <v>11.878246465784295</v>
      </c>
      <c r="P163" s="58">
        <v>30</v>
      </c>
    </row>
    <row r="164" spans="1:16" x14ac:dyDescent="0.3">
      <c r="A164" s="58" t="s">
        <v>144</v>
      </c>
      <c r="B164" s="19" t="s">
        <v>20</v>
      </c>
      <c r="C164" s="22">
        <v>1</v>
      </c>
      <c r="D164" s="22">
        <v>2</v>
      </c>
      <c r="E164" s="22">
        <v>2</v>
      </c>
      <c r="F164" s="22">
        <v>7478</v>
      </c>
      <c r="G164" s="19" t="s">
        <v>63</v>
      </c>
      <c r="H164" s="22">
        <v>10.4</v>
      </c>
      <c r="I164" s="22">
        <v>7.3</v>
      </c>
      <c r="J164" s="82">
        <v>0.2298</v>
      </c>
      <c r="K164" s="81">
        <f t="shared" si="8"/>
        <v>10.778166240222831</v>
      </c>
      <c r="L164" s="81">
        <f t="shared" si="9"/>
        <v>15.306989902305911</v>
      </c>
      <c r="M164" s="82">
        <v>0.16500000000000001</v>
      </c>
      <c r="N164" s="99">
        <f t="shared" si="10"/>
        <v>7.8006642108495754</v>
      </c>
      <c r="O164" s="99">
        <f t="shared" si="11"/>
        <v>10.71386148828627</v>
      </c>
      <c r="P164" s="58">
        <v>30</v>
      </c>
    </row>
    <row r="165" spans="1:16" x14ac:dyDescent="0.3">
      <c r="A165" s="58" t="s">
        <v>144</v>
      </c>
      <c r="B165" s="19" t="s">
        <v>20</v>
      </c>
      <c r="C165" s="22">
        <v>1</v>
      </c>
      <c r="D165" s="22">
        <v>2</v>
      </c>
      <c r="E165" s="22">
        <v>2</v>
      </c>
      <c r="F165" s="22">
        <v>7479</v>
      </c>
      <c r="G165" s="19" t="s">
        <v>63</v>
      </c>
      <c r="H165" s="22">
        <v>16.2</v>
      </c>
      <c r="I165" s="22">
        <v>7.5</v>
      </c>
      <c r="J165" s="82">
        <v>0.2298</v>
      </c>
      <c r="K165" s="81">
        <f t="shared" si="8"/>
        <v>26.286077829421888</v>
      </c>
      <c r="L165" s="81">
        <f t="shared" si="9"/>
        <v>39.356565085044096</v>
      </c>
      <c r="M165" s="82">
        <v>0.16500000000000001</v>
      </c>
      <c r="N165" s="99">
        <f t="shared" si="10"/>
        <v>19.024466871030427</v>
      </c>
      <c r="O165" s="99">
        <f t="shared" si="11"/>
        <v>27.546943564153342</v>
      </c>
      <c r="P165" s="58">
        <v>30</v>
      </c>
    </row>
    <row r="166" spans="1:16" x14ac:dyDescent="0.3">
      <c r="A166" s="58" t="s">
        <v>144</v>
      </c>
      <c r="B166" s="19" t="s">
        <v>20</v>
      </c>
      <c r="C166" s="22">
        <v>1</v>
      </c>
      <c r="D166" s="22">
        <v>2</v>
      </c>
      <c r="E166" s="22">
        <v>2</v>
      </c>
      <c r="F166" s="22">
        <v>7480</v>
      </c>
      <c r="G166" s="19" t="s">
        <v>63</v>
      </c>
      <c r="H166" s="29">
        <f>SQRT(11.6^2+8.4^2)</f>
        <v>14.322011031974526</v>
      </c>
      <c r="I166" s="22">
        <v>6.4</v>
      </c>
      <c r="J166" s="82">
        <v>0.2298</v>
      </c>
      <c r="K166" s="81">
        <f t="shared" si="8"/>
        <v>17.702889488360544</v>
      </c>
      <c r="L166" s="81">
        <f t="shared" si="9"/>
        <v>28.753407331515771</v>
      </c>
      <c r="M166" s="82">
        <v>0.16500000000000001</v>
      </c>
      <c r="N166" s="99">
        <f t="shared" si="10"/>
        <v>12.812411070922963</v>
      </c>
      <c r="O166" s="99">
        <f t="shared" si="11"/>
        <v>20.125447617870798</v>
      </c>
      <c r="P166" s="58">
        <v>30</v>
      </c>
    </row>
    <row r="167" spans="1:16" x14ac:dyDescent="0.3">
      <c r="A167" s="58" t="s">
        <v>144</v>
      </c>
      <c r="B167" s="19" t="s">
        <v>20</v>
      </c>
      <c r="C167" s="22">
        <v>1</v>
      </c>
      <c r="D167" s="22">
        <v>2</v>
      </c>
      <c r="E167" s="22">
        <v>2</v>
      </c>
      <c r="F167" s="22">
        <v>7482</v>
      </c>
      <c r="G167" s="19" t="s">
        <v>63</v>
      </c>
      <c r="H167" s="22">
        <v>12</v>
      </c>
      <c r="I167" s="22">
        <v>7.4</v>
      </c>
      <c r="J167" s="82">
        <v>0.2298</v>
      </c>
      <c r="K167" s="81">
        <f t="shared" si="8"/>
        <v>14.441910150661126</v>
      </c>
      <c r="L167" s="81">
        <f t="shared" si="9"/>
        <v>20.798446204535676</v>
      </c>
      <c r="M167" s="82">
        <v>0.16500000000000001</v>
      </c>
      <c r="N167" s="99">
        <f t="shared" si="10"/>
        <v>10.452287442751325</v>
      </c>
      <c r="O167" s="99">
        <f t="shared" si="11"/>
        <v>14.557510864588744</v>
      </c>
      <c r="P167" s="58">
        <v>30</v>
      </c>
    </row>
    <row r="168" spans="1:16" s="98" customFormat="1" x14ac:dyDescent="0.3">
      <c r="A168" s="89" t="s">
        <v>145</v>
      </c>
      <c r="B168" s="90" t="s">
        <v>44</v>
      </c>
      <c r="C168" s="91">
        <v>1</v>
      </c>
      <c r="D168" s="91">
        <v>3</v>
      </c>
      <c r="E168" s="91">
        <v>2</v>
      </c>
      <c r="F168" s="91">
        <v>3223</v>
      </c>
      <c r="G168" s="90" t="s">
        <v>45</v>
      </c>
      <c r="H168" s="91">
        <v>15.2</v>
      </c>
      <c r="I168" s="91">
        <v>13.9</v>
      </c>
      <c r="J168" s="95">
        <v>0.55700000000000005</v>
      </c>
      <c r="K168" s="96">
        <f t="shared" si="8"/>
        <v>100.57982216949813</v>
      </c>
      <c r="L168" s="96">
        <f t="shared" si="9"/>
        <v>110.11506740380551</v>
      </c>
      <c r="M168" s="95">
        <v>0.68</v>
      </c>
      <c r="N168" s="97">
        <f t="shared" si="10"/>
        <v>122.20385092477211</v>
      </c>
      <c r="O168" s="97">
        <f t="shared" si="11"/>
        <v>136.51262027525271</v>
      </c>
      <c r="P168" s="89">
        <v>31</v>
      </c>
    </row>
    <row r="169" spans="1:16" s="98" customFormat="1" x14ac:dyDescent="0.3">
      <c r="A169" s="89" t="s">
        <v>145</v>
      </c>
      <c r="B169" s="90" t="s">
        <v>44</v>
      </c>
      <c r="C169" s="91">
        <v>1</v>
      </c>
      <c r="D169" s="91">
        <v>3</v>
      </c>
      <c r="E169" s="91">
        <v>2</v>
      </c>
      <c r="F169" s="91">
        <v>3224</v>
      </c>
      <c r="G169" s="90" t="s">
        <v>45</v>
      </c>
      <c r="H169" s="91">
        <v>14.9</v>
      </c>
      <c r="I169" s="91">
        <v>14.9</v>
      </c>
      <c r="J169" s="95">
        <v>0.55700000000000005</v>
      </c>
      <c r="K169" s="96">
        <f t="shared" si="8"/>
        <v>103.52831095234107</v>
      </c>
      <c r="L169" s="96">
        <f t="shared" si="9"/>
        <v>108.10308900419851</v>
      </c>
      <c r="M169" s="95">
        <v>0.68</v>
      </c>
      <c r="N169" s="97">
        <f t="shared" si="10"/>
        <v>125.78624623925867</v>
      </c>
      <c r="O169" s="97">
        <f t="shared" si="11"/>
        <v>134.01831636441418</v>
      </c>
      <c r="P169" s="89">
        <v>31</v>
      </c>
    </row>
    <row r="170" spans="1:16" s="98" customFormat="1" x14ac:dyDescent="0.3">
      <c r="A170" s="89" t="s">
        <v>145</v>
      </c>
      <c r="B170" s="90" t="s">
        <v>20</v>
      </c>
      <c r="C170" s="91">
        <v>1</v>
      </c>
      <c r="D170" s="91">
        <v>3</v>
      </c>
      <c r="E170" s="91">
        <v>1</v>
      </c>
      <c r="F170" s="91">
        <v>3230</v>
      </c>
      <c r="G170" s="90" t="s">
        <v>45</v>
      </c>
      <c r="H170" s="91">
        <v>13.7</v>
      </c>
      <c r="I170" s="91">
        <v>13.3</v>
      </c>
      <c r="J170" s="95">
        <v>0.55700000000000005</v>
      </c>
      <c r="K170" s="96">
        <f t="shared" si="8"/>
        <v>78.655207913040343</v>
      </c>
      <c r="L170" s="96">
        <f t="shared" si="9"/>
        <v>87.120769148461235</v>
      </c>
      <c r="M170" s="95">
        <v>0.68</v>
      </c>
      <c r="N170" s="97">
        <f t="shared" si="10"/>
        <v>95.56558258836391</v>
      </c>
      <c r="O170" s="97">
        <f t="shared" si="11"/>
        <v>108.00596827715171</v>
      </c>
      <c r="P170" s="89">
        <v>31</v>
      </c>
    </row>
    <row r="171" spans="1:16" s="98" customFormat="1" x14ac:dyDescent="0.3">
      <c r="A171" s="89" t="s">
        <v>145</v>
      </c>
      <c r="B171" s="90" t="s">
        <v>20</v>
      </c>
      <c r="C171" s="91">
        <v>2</v>
      </c>
      <c r="D171" s="91">
        <v>1</v>
      </c>
      <c r="E171" s="91">
        <v>1</v>
      </c>
      <c r="F171" s="91">
        <v>38</v>
      </c>
      <c r="G171" s="90" t="s">
        <v>45</v>
      </c>
      <c r="H171" s="91">
        <v>14.6</v>
      </c>
      <c r="I171" s="91">
        <v>11.2</v>
      </c>
      <c r="J171" s="95">
        <v>0.55700000000000005</v>
      </c>
      <c r="K171" s="96">
        <f t="shared" si="8"/>
        <v>75.304910956356892</v>
      </c>
      <c r="L171" s="96">
        <f t="shared" si="9"/>
        <v>93.983237147300926</v>
      </c>
      <c r="M171" s="95">
        <v>0.68</v>
      </c>
      <c r="N171" s="97">
        <f t="shared" si="10"/>
        <v>91.494992871489046</v>
      </c>
      <c r="O171" s="97">
        <f t="shared" si="11"/>
        <v>116.51355502403409</v>
      </c>
      <c r="P171" s="89">
        <v>31</v>
      </c>
    </row>
    <row r="172" spans="1:16" s="98" customFormat="1" x14ac:dyDescent="0.3">
      <c r="A172" s="89" t="s">
        <v>145</v>
      </c>
      <c r="B172" s="90" t="s">
        <v>44</v>
      </c>
      <c r="C172" s="91">
        <v>2</v>
      </c>
      <c r="D172" s="91">
        <v>2</v>
      </c>
      <c r="E172" s="91">
        <v>2</v>
      </c>
      <c r="F172" s="91">
        <v>383</v>
      </c>
      <c r="G172" s="90" t="s">
        <v>45</v>
      </c>
      <c r="H172" s="91">
        <v>13.7</v>
      </c>
      <c r="I172" s="91">
        <v>12.6</v>
      </c>
      <c r="J172" s="95">
        <v>0.55700000000000005</v>
      </c>
      <c r="K172" s="96">
        <f t="shared" si="8"/>
        <v>74.612215142763816</v>
      </c>
      <c r="L172" s="96">
        <f t="shared" si="9"/>
        <v>85.533871207108632</v>
      </c>
      <c r="M172" s="95">
        <v>0.68</v>
      </c>
      <c r="N172" s="97">
        <f t="shared" si="10"/>
        <v>90.653371817537618</v>
      </c>
      <c r="O172" s="97">
        <f t="shared" si="11"/>
        <v>106.03864808027951</v>
      </c>
      <c r="P172" s="89">
        <v>31</v>
      </c>
    </row>
    <row r="173" spans="1:16" s="98" customFormat="1" x14ac:dyDescent="0.3">
      <c r="A173" s="89" t="s">
        <v>145</v>
      </c>
      <c r="B173" s="90" t="s">
        <v>24</v>
      </c>
      <c r="C173" s="91">
        <v>2</v>
      </c>
      <c r="D173" s="91">
        <v>2</v>
      </c>
      <c r="E173" s="91">
        <v>2</v>
      </c>
      <c r="F173" s="91">
        <v>539</v>
      </c>
      <c r="G173" s="90" t="s">
        <v>45</v>
      </c>
      <c r="H173" s="91">
        <v>11.6</v>
      </c>
      <c r="I173" s="91">
        <v>8.5</v>
      </c>
      <c r="J173" s="95">
        <v>0.55700000000000005</v>
      </c>
      <c r="K173" s="96">
        <f t="shared" si="8"/>
        <v>36.720163069707944</v>
      </c>
      <c r="L173" s="96">
        <f t="shared" si="9"/>
        <v>52.66723737549119</v>
      </c>
      <c r="M173" s="95">
        <v>0.68</v>
      </c>
      <c r="N173" s="97">
        <f t="shared" si="10"/>
        <v>44.61476702694695</v>
      </c>
      <c r="O173" s="97">
        <f t="shared" si="11"/>
        <v>65.292995284844665</v>
      </c>
      <c r="P173" s="89">
        <v>31</v>
      </c>
    </row>
    <row r="174" spans="1:16" x14ac:dyDescent="0.3">
      <c r="J174" s="27"/>
      <c r="K174" s="105"/>
      <c r="L174" s="105"/>
      <c r="N174" s="105"/>
      <c r="O174" s="105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F8CB-08B8-4EC7-9398-178A0E06D1CF}">
  <dimension ref="A1:C33"/>
  <sheetViews>
    <sheetView workbookViewId="0">
      <selection activeCell="E15" sqref="E15"/>
    </sheetView>
  </sheetViews>
  <sheetFormatPr defaultRowHeight="14.4" x14ac:dyDescent="0.3"/>
  <cols>
    <col min="1" max="1" width="27.5546875" bestFit="1" customWidth="1"/>
    <col min="2" max="2" width="21.44140625" bestFit="1" customWidth="1"/>
    <col min="3" max="3" width="22" bestFit="1" customWidth="1"/>
  </cols>
  <sheetData>
    <row r="1" spans="1:3" x14ac:dyDescent="0.3">
      <c r="A1" s="75" t="s">
        <v>520</v>
      </c>
      <c r="B1" s="75" t="s">
        <v>533</v>
      </c>
      <c r="C1" s="75" t="s">
        <v>534</v>
      </c>
    </row>
    <row r="2" spans="1:3" x14ac:dyDescent="0.3">
      <c r="A2" s="106" t="s">
        <v>119</v>
      </c>
      <c r="B2" s="107">
        <v>0.6169</v>
      </c>
      <c r="C2" s="107">
        <v>0.6</v>
      </c>
    </row>
    <row r="3" spans="1:3" x14ac:dyDescent="0.3">
      <c r="A3" s="75" t="s">
        <v>120</v>
      </c>
      <c r="B3" s="76">
        <v>0.68179999999999996</v>
      </c>
      <c r="C3" s="76">
        <v>0.83540000000000003</v>
      </c>
    </row>
    <row r="4" spans="1:3" x14ac:dyDescent="0.3">
      <c r="A4" s="106" t="s">
        <v>121</v>
      </c>
      <c r="B4" s="107">
        <v>0.7026</v>
      </c>
      <c r="C4" s="107">
        <v>0.71099999999999997</v>
      </c>
    </row>
    <row r="5" spans="1:3" x14ac:dyDescent="0.3">
      <c r="A5" s="75" t="s">
        <v>122</v>
      </c>
      <c r="B5" s="76">
        <v>0.35449999999999998</v>
      </c>
      <c r="C5" s="76">
        <v>0.4622</v>
      </c>
    </row>
    <row r="6" spans="1:3" x14ac:dyDescent="0.3">
      <c r="A6" s="106" t="s">
        <v>123</v>
      </c>
      <c r="B6" s="107">
        <v>0.371</v>
      </c>
      <c r="C6" s="107">
        <v>0.31090000000000001</v>
      </c>
    </row>
    <row r="7" spans="1:3" x14ac:dyDescent="0.3">
      <c r="A7" s="75" t="s">
        <v>124</v>
      </c>
      <c r="B7" s="76">
        <v>0.57099999999999995</v>
      </c>
      <c r="C7" s="76">
        <v>0.61499999999999999</v>
      </c>
    </row>
    <row r="8" spans="1:3" x14ac:dyDescent="0.3">
      <c r="A8" s="106" t="s">
        <v>125</v>
      </c>
      <c r="B8" s="107">
        <v>0.377</v>
      </c>
      <c r="C8" s="107">
        <v>0.48499999999999999</v>
      </c>
    </row>
    <row r="9" spans="1:3" x14ac:dyDescent="0.3">
      <c r="A9" s="75" t="s">
        <v>126</v>
      </c>
      <c r="B9" s="76">
        <v>0.57489999999999997</v>
      </c>
      <c r="C9" s="76">
        <v>0.63</v>
      </c>
    </row>
    <row r="10" spans="1:3" x14ac:dyDescent="0.3">
      <c r="A10" s="106" t="s">
        <v>127</v>
      </c>
      <c r="B10" s="107">
        <v>0.43030000000000002</v>
      </c>
      <c r="C10" s="107">
        <v>0.49669999999999997</v>
      </c>
    </row>
    <row r="11" spans="1:3" x14ac:dyDescent="0.3">
      <c r="A11" s="75" t="s">
        <v>128</v>
      </c>
      <c r="B11" s="76">
        <v>0.69430000000000003</v>
      </c>
      <c r="C11" s="76">
        <v>0.93669999999999998</v>
      </c>
    </row>
    <row r="12" spans="1:3" x14ac:dyDescent="0.3">
      <c r="A12" s="106" t="s">
        <v>129</v>
      </c>
      <c r="B12" s="107">
        <v>0.32679999999999998</v>
      </c>
      <c r="C12" s="107">
        <v>0.38350000000000001</v>
      </c>
    </row>
    <row r="13" spans="1:3" x14ac:dyDescent="0.3">
      <c r="A13" s="75" t="s">
        <v>85</v>
      </c>
      <c r="B13" s="76">
        <v>0.53669999999999995</v>
      </c>
      <c r="C13" s="76">
        <v>0.4</v>
      </c>
    </row>
    <row r="14" spans="1:3" x14ac:dyDescent="0.3">
      <c r="A14" s="106" t="s">
        <v>130</v>
      </c>
      <c r="B14" s="107">
        <v>0.75600000000000001</v>
      </c>
      <c r="C14" s="107">
        <v>0.78979999999999995</v>
      </c>
    </row>
    <row r="15" spans="1:3" x14ac:dyDescent="0.3">
      <c r="A15" s="75" t="s">
        <v>74</v>
      </c>
      <c r="B15" s="76">
        <v>0.55779999999999996</v>
      </c>
      <c r="C15" s="76">
        <v>0.59</v>
      </c>
    </row>
    <row r="16" spans="1:3" x14ac:dyDescent="0.3">
      <c r="A16" s="106" t="s">
        <v>131</v>
      </c>
      <c r="B16" s="107">
        <v>0.66990000000000005</v>
      </c>
      <c r="C16" s="107">
        <v>0.55479999999999996</v>
      </c>
    </row>
    <row r="17" spans="1:3" x14ac:dyDescent="0.3">
      <c r="A17" s="75" t="s">
        <v>66</v>
      </c>
      <c r="B17" s="76">
        <v>0.51819999999999999</v>
      </c>
      <c r="C17" s="76">
        <v>0.63</v>
      </c>
    </row>
    <row r="18" spans="1:3" x14ac:dyDescent="0.3">
      <c r="A18" s="106" t="s">
        <v>132</v>
      </c>
      <c r="B18" s="107">
        <v>0.3448</v>
      </c>
      <c r="C18" s="107">
        <v>0.66</v>
      </c>
    </row>
    <row r="19" spans="1:3" x14ac:dyDescent="0.3">
      <c r="A19" s="75" t="s">
        <v>133</v>
      </c>
      <c r="B19" s="76">
        <v>0.75780000000000003</v>
      </c>
      <c r="C19" s="76">
        <v>0.8</v>
      </c>
    </row>
    <row r="20" spans="1:3" x14ac:dyDescent="0.3">
      <c r="A20" s="106" t="s">
        <v>134</v>
      </c>
      <c r="B20" s="107">
        <v>0.58850000000000002</v>
      </c>
      <c r="C20" s="107">
        <v>0.95499999999999996</v>
      </c>
    </row>
    <row r="21" spans="1:3" x14ac:dyDescent="0.3">
      <c r="A21" s="75" t="s">
        <v>135</v>
      </c>
      <c r="B21" s="76">
        <v>0.70209999999999995</v>
      </c>
      <c r="C21" s="76">
        <v>0.81789999999999996</v>
      </c>
    </row>
    <row r="22" spans="1:3" x14ac:dyDescent="0.3">
      <c r="A22" s="106" t="s">
        <v>136</v>
      </c>
      <c r="B22" s="107">
        <v>0.72640000000000005</v>
      </c>
      <c r="C22" s="107">
        <v>0.76670000000000005</v>
      </c>
    </row>
    <row r="23" spans="1:3" x14ac:dyDescent="0.3">
      <c r="A23" s="75" t="s">
        <v>137</v>
      </c>
      <c r="B23" s="76">
        <v>0.52839999999999998</v>
      </c>
      <c r="C23" s="76">
        <v>0.69989999999999997</v>
      </c>
    </row>
    <row r="24" spans="1:3" x14ac:dyDescent="0.3">
      <c r="A24" s="106" t="s">
        <v>138</v>
      </c>
      <c r="B24" s="107">
        <v>0.64180000000000004</v>
      </c>
      <c r="C24" s="107">
        <v>0.63749999999999996</v>
      </c>
    </row>
    <row r="25" spans="1:3" x14ac:dyDescent="0.3">
      <c r="A25" s="75" t="s">
        <v>88</v>
      </c>
      <c r="B25" s="76">
        <v>0.93010000000000004</v>
      </c>
      <c r="C25" s="76">
        <v>0.9</v>
      </c>
    </row>
    <row r="26" spans="1:3" x14ac:dyDescent="0.3">
      <c r="A26" s="106" t="s">
        <v>139</v>
      </c>
      <c r="B26" s="107">
        <v>0.51910000000000001</v>
      </c>
      <c r="C26" s="107">
        <v>0.65180000000000005</v>
      </c>
    </row>
    <row r="27" spans="1:3" x14ac:dyDescent="0.3">
      <c r="A27" s="75" t="s">
        <v>140</v>
      </c>
      <c r="B27" s="76">
        <v>0.70430000000000004</v>
      </c>
      <c r="C27" s="76">
        <v>0.68210000000000004</v>
      </c>
    </row>
    <row r="28" spans="1:3" x14ac:dyDescent="0.3">
      <c r="A28" s="106" t="s">
        <v>141</v>
      </c>
      <c r="B28" s="107">
        <v>0.4884</v>
      </c>
      <c r="C28" s="107">
        <v>0.49</v>
      </c>
    </row>
    <row r="29" spans="1:3" x14ac:dyDescent="0.3">
      <c r="A29" s="75" t="s">
        <v>142</v>
      </c>
      <c r="B29" s="76">
        <v>0.38719999999999999</v>
      </c>
      <c r="C29" s="76">
        <v>0.33800000000000002</v>
      </c>
    </row>
    <row r="30" spans="1:3" x14ac:dyDescent="0.3">
      <c r="A30" s="106" t="s">
        <v>143</v>
      </c>
      <c r="B30" s="107">
        <v>0.68059999999999998</v>
      </c>
      <c r="C30" s="107">
        <v>0.62790000000000001</v>
      </c>
    </row>
    <row r="31" spans="1:3" x14ac:dyDescent="0.3">
      <c r="A31" s="75" t="s">
        <v>144</v>
      </c>
      <c r="B31" s="76">
        <v>0.2298</v>
      </c>
      <c r="C31" s="76">
        <v>0.16500000000000001</v>
      </c>
    </row>
    <row r="32" spans="1:3" x14ac:dyDescent="0.3">
      <c r="A32" s="106" t="s">
        <v>145</v>
      </c>
      <c r="B32" s="107">
        <v>0.55700000000000005</v>
      </c>
      <c r="C32" s="107">
        <v>0.68</v>
      </c>
    </row>
    <row r="33" spans="2:3" x14ac:dyDescent="0.3">
      <c r="B33" s="27"/>
      <c r="C33" s="27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BB5-EC28-4F51-A82F-6C4FF37812D1}">
  <dimension ref="A1:O179"/>
  <sheetViews>
    <sheetView zoomScale="80" zoomScaleNormal="80" workbookViewId="0">
      <selection activeCell="N10" sqref="N6:N10"/>
    </sheetView>
  </sheetViews>
  <sheetFormatPr defaultRowHeight="14.4" x14ac:dyDescent="0.3"/>
  <cols>
    <col min="1" max="1" width="42.44140625" style="2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style="2" bestFit="1" customWidth="1"/>
    <col min="8" max="8" width="10.6640625" bestFit="1" customWidth="1"/>
    <col min="9" max="9" width="12.33203125" style="1" bestFit="1" customWidth="1"/>
    <col min="10" max="10" width="16.6640625" bestFit="1" customWidth="1"/>
    <col min="11" max="12" width="13.88671875" bestFit="1" customWidth="1"/>
    <col min="13" max="13" width="20.109375" bestFit="1" customWidth="1"/>
    <col min="14" max="14" width="16" bestFit="1" customWidth="1"/>
    <col min="15" max="15" width="16.44140625" bestFit="1" customWidth="1"/>
    <col min="16" max="16" width="8.109375" customWidth="1"/>
  </cols>
  <sheetData>
    <row r="1" spans="1:15" s="74" customFormat="1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91</v>
      </c>
      <c r="G1" s="58" t="s">
        <v>92</v>
      </c>
      <c r="H1" s="58" t="s">
        <v>7</v>
      </c>
      <c r="I1" s="58" t="s">
        <v>8</v>
      </c>
      <c r="J1" s="58" t="s">
        <v>93</v>
      </c>
      <c r="K1" s="80" t="s">
        <v>146</v>
      </c>
      <c r="L1" s="80" t="s">
        <v>147</v>
      </c>
      <c r="M1" s="58" t="s">
        <v>103</v>
      </c>
      <c r="N1" s="80" t="s">
        <v>148</v>
      </c>
      <c r="O1" s="80" t="s">
        <v>149</v>
      </c>
    </row>
    <row r="2" spans="1:15" x14ac:dyDescent="0.3">
      <c r="A2" s="58" t="s">
        <v>67</v>
      </c>
      <c r="B2" s="19" t="s">
        <v>59</v>
      </c>
      <c r="C2" s="22">
        <v>1</v>
      </c>
      <c r="D2" s="22">
        <v>1</v>
      </c>
      <c r="E2" s="22">
        <v>2</v>
      </c>
      <c r="F2" s="22">
        <v>1296</v>
      </c>
      <c r="G2" s="19" t="s">
        <v>68</v>
      </c>
      <c r="H2" s="22">
        <v>12.5</v>
      </c>
      <c r="I2" s="22">
        <v>10</v>
      </c>
      <c r="J2" s="65">
        <v>0.62621359223300976</v>
      </c>
      <c r="K2" s="81">
        <f t="shared" ref="K2:K33" si="0">((0.0673)*((J2*H2^2*I2)^0.976))</f>
        <v>55.819322345441336</v>
      </c>
      <c r="L2" s="81">
        <f t="shared" ref="L2:L33" si="1">EXP(-1.305+1.055*LN(H2^2)+0.34*LN(I2)+1.077*LN(J2))</f>
        <v>73.92578590684019</v>
      </c>
    </row>
    <row r="3" spans="1:15" x14ac:dyDescent="0.3">
      <c r="A3" s="58" t="s">
        <v>67</v>
      </c>
      <c r="B3" s="19" t="s">
        <v>26</v>
      </c>
      <c r="C3" s="22">
        <v>1</v>
      </c>
      <c r="D3" s="22">
        <v>1</v>
      </c>
      <c r="E3" s="22">
        <v>2</v>
      </c>
      <c r="F3" s="22">
        <v>1648</v>
      </c>
      <c r="G3" s="19" t="s">
        <v>68</v>
      </c>
      <c r="H3" s="22">
        <v>18.399999999999999</v>
      </c>
      <c r="I3" s="22">
        <v>10.3</v>
      </c>
      <c r="J3" s="65">
        <v>0.56457564575645758</v>
      </c>
      <c r="K3" s="81">
        <f t="shared" si="0"/>
        <v>110.44584815000421</v>
      </c>
      <c r="L3" s="81">
        <f t="shared" si="1"/>
        <v>151.00130784005572</v>
      </c>
    </row>
    <row r="4" spans="1:15" x14ac:dyDescent="0.3">
      <c r="A4" s="58" t="s">
        <v>67</v>
      </c>
      <c r="B4" s="19" t="s">
        <v>26</v>
      </c>
      <c r="C4" s="22">
        <v>1</v>
      </c>
      <c r="D4" s="22">
        <v>1</v>
      </c>
      <c r="E4" s="22">
        <v>2</v>
      </c>
      <c r="F4" s="22">
        <v>1651</v>
      </c>
      <c r="G4" s="19" t="s">
        <v>68</v>
      </c>
      <c r="H4" s="22">
        <v>10.6</v>
      </c>
      <c r="I4" s="22">
        <v>7</v>
      </c>
      <c r="J4" s="65">
        <v>0.60759493670886078</v>
      </c>
      <c r="K4" s="81">
        <f t="shared" si="0"/>
        <v>27.735449378868587</v>
      </c>
      <c r="L4" s="81">
        <f t="shared" si="1"/>
        <v>44.763789597288905</v>
      </c>
    </row>
    <row r="5" spans="1:15" x14ac:dyDescent="0.3">
      <c r="A5" s="58" t="s">
        <v>67</v>
      </c>
      <c r="B5" s="19" t="s">
        <v>24</v>
      </c>
      <c r="C5" s="22">
        <v>1</v>
      </c>
      <c r="D5" s="22">
        <v>1</v>
      </c>
      <c r="E5" s="22">
        <v>1</v>
      </c>
      <c r="F5" s="22">
        <v>1670</v>
      </c>
      <c r="G5" s="19" t="s">
        <v>68</v>
      </c>
      <c r="H5" s="22">
        <v>11.2</v>
      </c>
      <c r="I5" s="22">
        <v>6.8</v>
      </c>
      <c r="J5" s="65">
        <v>0.60431654676258995</v>
      </c>
      <c r="K5" s="81">
        <f t="shared" si="0"/>
        <v>29.862865718884397</v>
      </c>
      <c r="L5" s="81">
        <f t="shared" si="1"/>
        <v>49.496057836155352</v>
      </c>
      <c r="M5" s="84"/>
    </row>
    <row r="6" spans="1:15" x14ac:dyDescent="0.3">
      <c r="A6" s="58" t="s">
        <v>67</v>
      </c>
      <c r="B6" s="19" t="s">
        <v>24</v>
      </c>
      <c r="C6" s="22">
        <v>1</v>
      </c>
      <c r="D6" s="22">
        <v>1</v>
      </c>
      <c r="E6" s="22">
        <v>1</v>
      </c>
      <c r="F6" s="22">
        <v>1667</v>
      </c>
      <c r="G6" s="19" t="s">
        <v>68</v>
      </c>
      <c r="H6" s="29">
        <f>SQRT(8.9^2+9.1^2)</f>
        <v>12.728707711311467</v>
      </c>
      <c r="I6" s="22">
        <v>7.4</v>
      </c>
      <c r="J6" s="65">
        <v>0.67441860465116277</v>
      </c>
      <c r="K6" s="81">
        <f t="shared" si="0"/>
        <v>46.340363566343278</v>
      </c>
      <c r="L6" s="81">
        <f t="shared" si="1"/>
        <v>75.099406572605446</v>
      </c>
    </row>
    <row r="7" spans="1:15" x14ac:dyDescent="0.3">
      <c r="A7" s="58" t="s">
        <v>67</v>
      </c>
      <c r="B7" s="19" t="s">
        <v>44</v>
      </c>
      <c r="C7" s="22">
        <v>1</v>
      </c>
      <c r="D7" s="22">
        <v>2</v>
      </c>
      <c r="E7" s="22">
        <v>2</v>
      </c>
      <c r="F7" s="22">
        <v>7495</v>
      </c>
      <c r="G7" s="19" t="s">
        <v>68</v>
      </c>
      <c r="H7" s="22">
        <v>12.4</v>
      </c>
      <c r="I7" s="22">
        <v>8.6999999999999993</v>
      </c>
      <c r="J7" s="65">
        <v>0.6244343891402715</v>
      </c>
      <c r="K7" s="81">
        <f t="shared" si="0"/>
        <v>47.834376051593516</v>
      </c>
      <c r="L7" s="81">
        <f t="shared" si="1"/>
        <v>69.110064770624604</v>
      </c>
    </row>
    <row r="8" spans="1:15" x14ac:dyDescent="0.3">
      <c r="A8" s="58" t="s">
        <v>80</v>
      </c>
      <c r="B8" s="7" t="s">
        <v>30</v>
      </c>
      <c r="C8" s="16">
        <v>1</v>
      </c>
      <c r="D8" s="16">
        <v>3</v>
      </c>
      <c r="E8" s="16">
        <v>1</v>
      </c>
      <c r="F8" s="16">
        <v>1725</v>
      </c>
      <c r="G8" s="7" t="s">
        <v>21</v>
      </c>
      <c r="H8" s="21">
        <v>12.7</v>
      </c>
      <c r="I8" s="3">
        <v>12.6</v>
      </c>
      <c r="J8" s="52">
        <v>0.70464479867099994</v>
      </c>
      <c r="K8" s="81">
        <f t="shared" si="0"/>
        <v>80.950687983819691</v>
      </c>
      <c r="L8" s="81">
        <f t="shared" si="1"/>
        <v>93.899114663633753</v>
      </c>
    </row>
    <row r="9" spans="1:15" x14ac:dyDescent="0.3">
      <c r="A9" s="58" t="s">
        <v>80</v>
      </c>
      <c r="B9" s="7" t="s">
        <v>20</v>
      </c>
      <c r="C9" s="16">
        <v>1</v>
      </c>
      <c r="D9" s="16">
        <v>2</v>
      </c>
      <c r="E9" s="16">
        <v>2</v>
      </c>
      <c r="F9" s="16">
        <v>7464</v>
      </c>
      <c r="G9" s="7" t="s">
        <v>21</v>
      </c>
      <c r="H9" s="21">
        <v>36</v>
      </c>
      <c r="I9" s="3">
        <v>19.399999999999999</v>
      </c>
      <c r="J9" s="52">
        <v>0.69239288301599988</v>
      </c>
      <c r="K9" s="81">
        <f t="shared" si="0"/>
        <v>926.8216434763774</v>
      </c>
      <c r="L9" s="81">
        <f t="shared" si="1"/>
        <v>961.5155471711131</v>
      </c>
    </row>
    <row r="10" spans="1:15" x14ac:dyDescent="0.3">
      <c r="A10" s="58" t="s">
        <v>80</v>
      </c>
      <c r="B10" s="7" t="s">
        <v>20</v>
      </c>
      <c r="C10" s="16">
        <v>1</v>
      </c>
      <c r="D10" s="16">
        <v>3</v>
      </c>
      <c r="E10" s="16">
        <v>1</v>
      </c>
      <c r="F10" s="16">
        <v>3236</v>
      </c>
      <c r="G10" s="7" t="s">
        <v>21</v>
      </c>
      <c r="H10" s="21">
        <v>22.6</v>
      </c>
      <c r="I10" s="3">
        <v>22.5</v>
      </c>
      <c r="J10" s="52">
        <v>0.69081379869600001</v>
      </c>
      <c r="K10" s="81">
        <f t="shared" si="0"/>
        <v>430.70629062858717</v>
      </c>
      <c r="L10" s="81">
        <f t="shared" si="1"/>
        <v>377.70120030949914</v>
      </c>
    </row>
    <row r="11" spans="1:15" x14ac:dyDescent="0.3">
      <c r="A11" s="58" t="s">
        <v>80</v>
      </c>
      <c r="B11" s="7" t="s">
        <v>30</v>
      </c>
      <c r="C11" s="16">
        <v>2</v>
      </c>
      <c r="D11" s="16">
        <v>1</v>
      </c>
      <c r="E11" s="16">
        <v>1</v>
      </c>
      <c r="F11" s="16">
        <v>77</v>
      </c>
      <c r="G11" s="7" t="s">
        <v>21</v>
      </c>
      <c r="H11" s="21">
        <v>33.200000000000003</v>
      </c>
      <c r="I11" s="3">
        <v>22.3</v>
      </c>
      <c r="J11" s="52">
        <v>0.77910847955999996</v>
      </c>
      <c r="K11" s="81">
        <f t="shared" si="0"/>
        <v>1017.2360216209323</v>
      </c>
      <c r="L11" s="81">
        <f t="shared" si="1"/>
        <v>964.98748938758945</v>
      </c>
    </row>
    <row r="12" spans="1:15" x14ac:dyDescent="0.3">
      <c r="A12" s="58" t="s">
        <v>80</v>
      </c>
      <c r="B12" s="7" t="s">
        <v>30</v>
      </c>
      <c r="C12" s="16">
        <v>2</v>
      </c>
      <c r="D12" s="16">
        <v>2</v>
      </c>
      <c r="E12" s="16">
        <v>1</v>
      </c>
      <c r="F12" s="16">
        <v>441</v>
      </c>
      <c r="G12" s="7" t="s">
        <v>21</v>
      </c>
      <c r="H12" s="21">
        <v>28.3</v>
      </c>
      <c r="I12" s="21">
        <v>21</v>
      </c>
      <c r="J12" s="52">
        <v>0.601380193482</v>
      </c>
      <c r="K12" s="81">
        <f t="shared" si="0"/>
        <v>545.55401913898083</v>
      </c>
      <c r="L12" s="81">
        <f t="shared" si="1"/>
        <v>510.75572469207685</v>
      </c>
    </row>
    <row r="13" spans="1:15" x14ac:dyDescent="0.3">
      <c r="A13" s="58" t="s">
        <v>80</v>
      </c>
      <c r="B13" s="7" t="s">
        <v>44</v>
      </c>
      <c r="C13" s="16">
        <v>2</v>
      </c>
      <c r="D13" s="16">
        <v>3</v>
      </c>
      <c r="E13" s="16">
        <v>1</v>
      </c>
      <c r="F13" s="16">
        <v>701</v>
      </c>
      <c r="G13" s="7" t="s">
        <v>21</v>
      </c>
      <c r="H13" s="21">
        <v>17.600000000000001</v>
      </c>
      <c r="I13" s="21">
        <v>20.6</v>
      </c>
      <c r="J13" s="52">
        <v>0.62259741449999995</v>
      </c>
      <c r="K13" s="81">
        <f t="shared" si="0"/>
        <v>219.14750784255742</v>
      </c>
      <c r="L13" s="81">
        <f t="shared" si="1"/>
        <v>193.35417813045208</v>
      </c>
    </row>
    <row r="14" spans="1:15" x14ac:dyDescent="0.3">
      <c r="A14" s="58" t="s">
        <v>53</v>
      </c>
      <c r="B14" s="19" t="s">
        <v>24</v>
      </c>
      <c r="C14" s="22">
        <v>1</v>
      </c>
      <c r="D14" s="22">
        <v>2</v>
      </c>
      <c r="E14" s="22">
        <v>1</v>
      </c>
      <c r="F14" s="22">
        <v>1372</v>
      </c>
      <c r="G14" s="19" t="s">
        <v>54</v>
      </c>
      <c r="H14" s="22">
        <v>13.3</v>
      </c>
      <c r="I14" s="22">
        <v>10.6</v>
      </c>
      <c r="J14" s="65">
        <v>0.68888888888888888</v>
      </c>
      <c r="K14" s="81">
        <f t="shared" si="0"/>
        <v>73.199074766530771</v>
      </c>
      <c r="L14" s="81">
        <f t="shared" si="1"/>
        <v>95.249635998215126</v>
      </c>
    </row>
    <row r="15" spans="1:15" x14ac:dyDescent="0.3">
      <c r="A15" s="58" t="s">
        <v>53</v>
      </c>
      <c r="B15" s="19" t="s">
        <v>24</v>
      </c>
      <c r="C15" s="22">
        <v>1</v>
      </c>
      <c r="D15" s="22">
        <v>2</v>
      </c>
      <c r="E15" s="22">
        <v>1</v>
      </c>
      <c r="F15" s="22">
        <v>1373</v>
      </c>
      <c r="G15" s="19" t="s">
        <v>54</v>
      </c>
      <c r="H15" s="22">
        <v>13</v>
      </c>
      <c r="I15" s="22">
        <v>10.3</v>
      </c>
      <c r="J15" s="65">
        <v>0.73076923076923073</v>
      </c>
      <c r="K15" s="81">
        <f t="shared" si="0"/>
        <v>72.112598661352052</v>
      </c>
      <c r="L15" s="81">
        <f t="shared" si="1"/>
        <v>95.790438943571061</v>
      </c>
    </row>
    <row r="16" spans="1:15" x14ac:dyDescent="0.3">
      <c r="A16" s="58" t="s">
        <v>53</v>
      </c>
      <c r="B16" s="19" t="s">
        <v>24</v>
      </c>
      <c r="C16" s="22">
        <v>1</v>
      </c>
      <c r="D16" s="22">
        <v>2</v>
      </c>
      <c r="E16" s="22">
        <v>1</v>
      </c>
      <c r="F16" s="22">
        <v>1389</v>
      </c>
      <c r="G16" s="19" t="s">
        <v>54</v>
      </c>
      <c r="H16" s="22">
        <v>13.4</v>
      </c>
      <c r="I16" s="22">
        <v>8.1999999999999993</v>
      </c>
      <c r="J16" s="65">
        <v>0.70329670329670335</v>
      </c>
      <c r="K16" s="81">
        <f t="shared" si="0"/>
        <v>58.994728426745795</v>
      </c>
      <c r="L16" s="81">
        <f t="shared" si="1"/>
        <v>90.677969765650957</v>
      </c>
    </row>
    <row r="17" spans="1:12" x14ac:dyDescent="0.3">
      <c r="A17" s="58" t="s">
        <v>53</v>
      </c>
      <c r="B17" s="19" t="s">
        <v>20</v>
      </c>
      <c r="C17" s="22">
        <v>1</v>
      </c>
      <c r="D17" s="22">
        <v>2</v>
      </c>
      <c r="E17" s="22">
        <v>2</v>
      </c>
      <c r="F17" s="22">
        <v>7476</v>
      </c>
      <c r="G17" s="19" t="s">
        <v>54</v>
      </c>
      <c r="H17" s="22">
        <v>15</v>
      </c>
      <c r="I17" s="22">
        <v>11.1</v>
      </c>
      <c r="J17" s="65">
        <v>0.6875</v>
      </c>
      <c r="K17" s="81">
        <f t="shared" si="0"/>
        <v>96.640370624522191</v>
      </c>
      <c r="L17" s="81">
        <f t="shared" si="1"/>
        <v>124.43735494093484</v>
      </c>
    </row>
    <row r="18" spans="1:12" x14ac:dyDescent="0.3">
      <c r="A18" s="58" t="s">
        <v>56</v>
      </c>
      <c r="B18" s="19" t="s">
        <v>24</v>
      </c>
      <c r="C18" s="22">
        <v>1</v>
      </c>
      <c r="D18" s="22">
        <v>1</v>
      </c>
      <c r="E18" s="22">
        <v>1</v>
      </c>
      <c r="F18" s="22">
        <v>1658</v>
      </c>
      <c r="G18" s="19" t="s">
        <v>57</v>
      </c>
      <c r="H18" s="22">
        <v>13.8</v>
      </c>
      <c r="I18" s="22">
        <v>12.1</v>
      </c>
      <c r="J18" s="65">
        <v>0.31835205992509363</v>
      </c>
      <c r="K18" s="81">
        <f t="shared" si="0"/>
        <v>42.140088438094011</v>
      </c>
      <c r="L18" s="81">
        <f t="shared" si="1"/>
        <v>46.899601634965528</v>
      </c>
    </row>
    <row r="19" spans="1:12" x14ac:dyDescent="0.3">
      <c r="A19" s="58" t="s">
        <v>56</v>
      </c>
      <c r="B19" s="19" t="s">
        <v>24</v>
      </c>
      <c r="C19" s="22">
        <v>1</v>
      </c>
      <c r="D19" s="22">
        <v>1</v>
      </c>
      <c r="E19" s="22">
        <v>1</v>
      </c>
      <c r="F19" s="22">
        <v>1661</v>
      </c>
      <c r="G19" s="19" t="s">
        <v>57</v>
      </c>
      <c r="H19" s="22">
        <v>17.2</v>
      </c>
      <c r="I19" s="22">
        <v>13.7</v>
      </c>
      <c r="J19" s="65">
        <v>0.31879194630872482</v>
      </c>
      <c r="K19" s="81">
        <f t="shared" si="0"/>
        <v>73.219883097835918</v>
      </c>
      <c r="L19" s="81">
        <f t="shared" si="1"/>
        <v>77.978185173516053</v>
      </c>
    </row>
    <row r="20" spans="1:12" x14ac:dyDescent="0.3">
      <c r="A20" s="58" t="s">
        <v>56</v>
      </c>
      <c r="B20" s="19" t="s">
        <v>30</v>
      </c>
      <c r="C20" s="22">
        <v>1</v>
      </c>
      <c r="D20" s="22">
        <v>3</v>
      </c>
      <c r="E20" s="22">
        <v>1</v>
      </c>
      <c r="F20" s="22">
        <v>1702</v>
      </c>
      <c r="G20" s="19" t="s">
        <v>57</v>
      </c>
      <c r="H20" s="22">
        <v>10.9</v>
      </c>
      <c r="I20" s="22">
        <v>9.6999999999999993</v>
      </c>
      <c r="J20" s="65">
        <v>0.37037037037037035</v>
      </c>
      <c r="K20" s="81">
        <f t="shared" si="0"/>
        <v>24.839895647112268</v>
      </c>
      <c r="L20" s="81">
        <f t="shared" si="1"/>
        <v>31.127140603422081</v>
      </c>
    </row>
    <row r="21" spans="1:12" x14ac:dyDescent="0.3">
      <c r="A21" s="58" t="s">
        <v>56</v>
      </c>
      <c r="B21" s="19" t="s">
        <v>20</v>
      </c>
      <c r="C21" s="22">
        <v>2</v>
      </c>
      <c r="D21" s="22">
        <v>2</v>
      </c>
      <c r="E21" s="22">
        <v>1</v>
      </c>
      <c r="F21" s="22">
        <v>309</v>
      </c>
      <c r="G21" s="19" t="s">
        <v>57</v>
      </c>
      <c r="H21" s="22">
        <v>19.899999999999999</v>
      </c>
      <c r="I21" s="22">
        <v>14.3</v>
      </c>
      <c r="J21" s="65">
        <v>0.3423180592991914</v>
      </c>
      <c r="K21" s="81">
        <f t="shared" si="0"/>
        <v>108.78968964689754</v>
      </c>
      <c r="L21" s="81">
        <f t="shared" si="1"/>
        <v>116.2039395827758</v>
      </c>
    </row>
    <row r="22" spans="1:12" x14ac:dyDescent="0.3">
      <c r="A22" s="58" t="s">
        <v>56</v>
      </c>
      <c r="B22" s="19" t="s">
        <v>20</v>
      </c>
      <c r="C22" s="22">
        <v>2</v>
      </c>
      <c r="D22" s="22">
        <v>2</v>
      </c>
      <c r="E22" s="22">
        <v>2</v>
      </c>
      <c r="F22" s="22">
        <v>339</v>
      </c>
      <c r="G22" s="19" t="s">
        <v>57</v>
      </c>
      <c r="H22" s="22">
        <v>21.1</v>
      </c>
      <c r="I22" s="22">
        <v>9.6999999999999993</v>
      </c>
      <c r="J22" s="65">
        <v>0.38653366583541149</v>
      </c>
      <c r="K22" s="81">
        <f t="shared" si="0"/>
        <v>94.015283361740316</v>
      </c>
      <c r="L22" s="81">
        <f t="shared" si="1"/>
        <v>131.33631326442898</v>
      </c>
    </row>
    <row r="23" spans="1:12" x14ac:dyDescent="0.3">
      <c r="A23" s="58" t="s">
        <v>56</v>
      </c>
      <c r="B23" s="19" t="s">
        <v>24</v>
      </c>
      <c r="C23" s="22">
        <v>2</v>
      </c>
      <c r="D23" s="22">
        <v>3</v>
      </c>
      <c r="E23" s="22">
        <v>1</v>
      </c>
      <c r="F23" s="22">
        <v>684</v>
      </c>
      <c r="G23" s="19" t="s">
        <v>57</v>
      </c>
      <c r="H23" s="22">
        <v>17.7</v>
      </c>
      <c r="I23" s="22">
        <v>9</v>
      </c>
      <c r="J23" s="65">
        <v>0.39117647058823529</v>
      </c>
      <c r="K23" s="81">
        <f t="shared" si="0"/>
        <v>62.741565081542355</v>
      </c>
      <c r="L23" s="81">
        <f t="shared" si="1"/>
        <v>89.515279084309725</v>
      </c>
    </row>
    <row r="24" spans="1:12" x14ac:dyDescent="0.3">
      <c r="A24" s="58" t="s">
        <v>87</v>
      </c>
      <c r="B24" s="7" t="s">
        <v>30</v>
      </c>
      <c r="C24" s="22">
        <v>1</v>
      </c>
      <c r="D24" s="22">
        <v>3</v>
      </c>
      <c r="E24" s="16">
        <v>1</v>
      </c>
      <c r="F24" s="16">
        <v>1728</v>
      </c>
      <c r="G24" s="7" t="s">
        <v>84</v>
      </c>
      <c r="H24" s="21">
        <v>16.100000000000001</v>
      </c>
      <c r="I24" s="21">
        <v>11.5</v>
      </c>
      <c r="J24" s="52">
        <v>0.27271490774999996</v>
      </c>
      <c r="K24" s="81">
        <f t="shared" si="0"/>
        <v>46.583501783667181</v>
      </c>
      <c r="L24" s="81">
        <f t="shared" si="1"/>
        <v>54.01868750552859</v>
      </c>
    </row>
    <row r="25" spans="1:12" x14ac:dyDescent="0.3">
      <c r="A25" s="58" t="s">
        <v>87</v>
      </c>
      <c r="B25" s="7" t="s">
        <v>30</v>
      </c>
      <c r="C25" s="22">
        <v>1</v>
      </c>
      <c r="D25" s="22">
        <v>3</v>
      </c>
      <c r="E25" s="16"/>
      <c r="F25" s="16">
        <v>4996</v>
      </c>
      <c r="G25" s="7" t="s">
        <v>84</v>
      </c>
      <c r="H25" s="21">
        <v>17.5</v>
      </c>
      <c r="I25" s="21">
        <v>14</v>
      </c>
      <c r="J25" s="52">
        <v>0.38126894099999997</v>
      </c>
      <c r="K25" s="81">
        <f t="shared" si="0"/>
        <v>92.114536664407069</v>
      </c>
      <c r="L25" s="81">
        <f t="shared" si="1"/>
        <v>98.792906832332378</v>
      </c>
    </row>
    <row r="26" spans="1:12" x14ac:dyDescent="0.3">
      <c r="A26" s="58" t="s">
        <v>87</v>
      </c>
      <c r="B26" s="7" t="s">
        <v>38</v>
      </c>
      <c r="C26" s="22">
        <v>1</v>
      </c>
      <c r="D26" s="22">
        <v>2</v>
      </c>
      <c r="E26" s="16"/>
      <c r="F26" s="16">
        <v>4999</v>
      </c>
      <c r="G26" s="7" t="s">
        <v>84</v>
      </c>
      <c r="H26" s="21">
        <v>51</v>
      </c>
      <c r="I26" s="21">
        <v>21.4</v>
      </c>
      <c r="J26" s="52">
        <v>0.38791938300000001</v>
      </c>
      <c r="K26" s="81">
        <f t="shared" si="0"/>
        <v>1143.6353619833046</v>
      </c>
      <c r="L26" s="81">
        <f t="shared" si="1"/>
        <v>1110.7952909480296</v>
      </c>
    </row>
    <row r="27" spans="1:12" x14ac:dyDescent="0.3">
      <c r="A27" s="58" t="s">
        <v>87</v>
      </c>
      <c r="B27" s="7" t="s">
        <v>38</v>
      </c>
      <c r="C27" s="22">
        <v>1</v>
      </c>
      <c r="D27" s="22">
        <v>1</v>
      </c>
      <c r="E27" s="16"/>
      <c r="F27" s="79" t="s">
        <v>102</v>
      </c>
      <c r="G27" s="7" t="s">
        <v>84</v>
      </c>
      <c r="H27" s="21">
        <v>30.2</v>
      </c>
      <c r="I27" s="21">
        <v>13.6</v>
      </c>
      <c r="J27" s="52">
        <v>0.48020866600000001</v>
      </c>
      <c r="K27" s="81">
        <f t="shared" si="0"/>
        <v>325.38555173088366</v>
      </c>
      <c r="L27" s="81">
        <f t="shared" si="1"/>
        <v>396.61002019734815</v>
      </c>
    </row>
    <row r="28" spans="1:12" x14ac:dyDescent="0.3">
      <c r="A28" s="58" t="s">
        <v>87</v>
      </c>
      <c r="B28" s="7" t="s">
        <v>38</v>
      </c>
      <c r="C28" s="22">
        <v>1</v>
      </c>
      <c r="D28" s="22">
        <v>1</v>
      </c>
      <c r="E28" s="16"/>
      <c r="F28" s="16">
        <v>203</v>
      </c>
      <c r="G28" s="7" t="s">
        <v>84</v>
      </c>
      <c r="H28" s="21">
        <v>21.4</v>
      </c>
      <c r="I28" s="21">
        <v>11.5</v>
      </c>
      <c r="J28" s="52">
        <v>0.33314518000000004</v>
      </c>
      <c r="K28" s="81">
        <f t="shared" si="0"/>
        <v>98.699322456924676</v>
      </c>
      <c r="L28" s="81">
        <f t="shared" si="1"/>
        <v>122.16093411704669</v>
      </c>
    </row>
    <row r="29" spans="1:12" x14ac:dyDescent="0.3">
      <c r="A29" s="58" t="s">
        <v>52</v>
      </c>
      <c r="B29" s="19" t="s">
        <v>30</v>
      </c>
      <c r="C29" s="22">
        <v>1</v>
      </c>
      <c r="D29" s="22">
        <v>1</v>
      </c>
      <c r="E29" s="22">
        <v>2</v>
      </c>
      <c r="F29" s="22">
        <v>1322</v>
      </c>
      <c r="G29" s="19" t="s">
        <v>21</v>
      </c>
      <c r="H29" s="22">
        <v>11.9</v>
      </c>
      <c r="I29" s="22">
        <v>10.7</v>
      </c>
      <c r="J29" s="65">
        <v>0.5829596412556054</v>
      </c>
      <c r="K29" s="81">
        <f t="shared" si="0"/>
        <v>50.515477833262089</v>
      </c>
      <c r="L29" s="81">
        <f t="shared" si="1"/>
        <v>63.129583927042276</v>
      </c>
    </row>
    <row r="30" spans="1:12" x14ac:dyDescent="0.3">
      <c r="A30" s="58" t="s">
        <v>52</v>
      </c>
      <c r="B30" s="19" t="s">
        <v>24</v>
      </c>
      <c r="C30" s="22">
        <v>1</v>
      </c>
      <c r="D30" s="22">
        <v>1</v>
      </c>
      <c r="E30" s="22">
        <v>2</v>
      </c>
      <c r="F30" s="22">
        <v>1681</v>
      </c>
      <c r="G30" s="19" t="s">
        <v>21</v>
      </c>
      <c r="H30" s="22">
        <v>11.2</v>
      </c>
      <c r="I30" s="22">
        <v>9.6</v>
      </c>
      <c r="J30" s="65">
        <v>0.5892857142857143</v>
      </c>
      <c r="K30" s="81">
        <f t="shared" si="0"/>
        <v>40.79655195191517</v>
      </c>
      <c r="L30" s="81">
        <f t="shared" si="1"/>
        <v>54.163778867979232</v>
      </c>
    </row>
    <row r="31" spans="1:12" x14ac:dyDescent="0.3">
      <c r="A31" s="58" t="s">
        <v>52</v>
      </c>
      <c r="B31" s="19" t="s">
        <v>30</v>
      </c>
      <c r="C31" s="22">
        <v>1</v>
      </c>
      <c r="D31" s="22">
        <v>2</v>
      </c>
      <c r="E31" s="22">
        <v>2</v>
      </c>
      <c r="F31" s="22">
        <v>4971</v>
      </c>
      <c r="G31" s="19" t="s">
        <v>21</v>
      </c>
      <c r="H31" s="22">
        <v>22.2</v>
      </c>
      <c r="I31" s="22">
        <v>20</v>
      </c>
      <c r="J31" s="65">
        <v>0.5728952772073922</v>
      </c>
      <c r="K31" s="81">
        <f t="shared" si="0"/>
        <v>308.87501703996196</v>
      </c>
      <c r="L31" s="81">
        <f t="shared" si="1"/>
        <v>285.65886837975046</v>
      </c>
    </row>
    <row r="32" spans="1:12" x14ac:dyDescent="0.3">
      <c r="A32" s="58" t="s">
        <v>52</v>
      </c>
      <c r="B32" s="19" t="s">
        <v>30</v>
      </c>
      <c r="C32" s="22">
        <v>2</v>
      </c>
      <c r="D32" s="22">
        <v>1</v>
      </c>
      <c r="E32" s="22">
        <v>2</v>
      </c>
      <c r="F32" s="22">
        <v>95</v>
      </c>
      <c r="G32" s="19" t="s">
        <v>21</v>
      </c>
      <c r="H32" s="22">
        <v>12.9</v>
      </c>
      <c r="I32" s="22">
        <v>19.5</v>
      </c>
      <c r="J32" s="65">
        <v>0.5625</v>
      </c>
      <c r="K32" s="81">
        <f t="shared" si="0"/>
        <v>102.58398022914031</v>
      </c>
      <c r="L32" s="81">
        <f t="shared" si="1"/>
        <v>88.325014836220447</v>
      </c>
    </row>
    <row r="33" spans="1:12" x14ac:dyDescent="0.3">
      <c r="A33" s="58" t="s">
        <v>52</v>
      </c>
      <c r="B33" s="19" t="s">
        <v>30</v>
      </c>
      <c r="C33" s="22">
        <v>2</v>
      </c>
      <c r="D33" s="22">
        <v>2</v>
      </c>
      <c r="E33" s="22">
        <v>1</v>
      </c>
      <c r="F33" s="22">
        <v>455</v>
      </c>
      <c r="G33" s="19" t="s">
        <v>21</v>
      </c>
      <c r="H33" s="22">
        <v>22.2</v>
      </c>
      <c r="I33" s="22">
        <v>16.899999999999999</v>
      </c>
      <c r="J33" s="65">
        <v>0.59403669724770647</v>
      </c>
      <c r="K33" s="81">
        <f t="shared" si="0"/>
        <v>271.49088315529576</v>
      </c>
      <c r="L33" s="81">
        <f t="shared" si="1"/>
        <v>280.49740886227426</v>
      </c>
    </row>
    <row r="34" spans="1:12" x14ac:dyDescent="0.3">
      <c r="A34" s="58" t="s">
        <v>52</v>
      </c>
      <c r="B34" s="19" t="s">
        <v>24</v>
      </c>
      <c r="C34" s="22">
        <v>2</v>
      </c>
      <c r="D34" s="22">
        <v>2</v>
      </c>
      <c r="E34" s="22">
        <v>1</v>
      </c>
      <c r="F34" s="22">
        <v>522</v>
      </c>
      <c r="G34" s="19" t="s">
        <v>21</v>
      </c>
      <c r="H34" s="22">
        <v>16.2</v>
      </c>
      <c r="I34" s="22">
        <v>12.8</v>
      </c>
      <c r="J34" s="65">
        <v>0.52463768115942033</v>
      </c>
      <c r="K34" s="81">
        <f t="shared" ref="K34:K65" si="2">((0.0673)*((J34*H34^2*I34)^0.976))</f>
        <v>99.130695973273689</v>
      </c>
      <c r="L34" s="81">
        <f t="shared" ref="L34:L65" si="3">EXP(-1.305+1.055*LN(H34^2)+0.34*LN(I34)+1.077*LN(J34))</f>
        <v>114.83186841183492</v>
      </c>
    </row>
    <row r="35" spans="1:12" x14ac:dyDescent="0.3">
      <c r="A35" s="58" t="s">
        <v>73</v>
      </c>
      <c r="B35" s="19" t="s">
        <v>30</v>
      </c>
      <c r="C35" s="22">
        <v>1</v>
      </c>
      <c r="D35" s="22">
        <v>1</v>
      </c>
      <c r="E35" s="22">
        <v>2</v>
      </c>
      <c r="F35" s="22">
        <v>1325</v>
      </c>
      <c r="G35" s="19" t="s">
        <v>68</v>
      </c>
      <c r="H35" s="22">
        <v>28.2</v>
      </c>
      <c r="I35" s="22">
        <v>12</v>
      </c>
      <c r="J35" s="65">
        <v>0.39212007504690433</v>
      </c>
      <c r="K35" s="81">
        <f t="shared" si="2"/>
        <v>206.70893005715371</v>
      </c>
      <c r="L35" s="81">
        <f t="shared" si="3"/>
        <v>264.42669039913932</v>
      </c>
    </row>
    <row r="36" spans="1:12" x14ac:dyDescent="0.3">
      <c r="A36" s="58" t="s">
        <v>73</v>
      </c>
      <c r="B36" s="19" t="s">
        <v>30</v>
      </c>
      <c r="C36" s="22">
        <v>1</v>
      </c>
      <c r="D36" s="22">
        <v>3</v>
      </c>
      <c r="E36" s="22">
        <v>1</v>
      </c>
      <c r="F36" s="22">
        <v>1722</v>
      </c>
      <c r="G36" s="19" t="s">
        <v>68</v>
      </c>
      <c r="H36" s="22">
        <v>17.100000000000001</v>
      </c>
      <c r="I36" s="22">
        <v>18.8</v>
      </c>
      <c r="J36" s="65">
        <v>0.35628742514970058</v>
      </c>
      <c r="K36" s="81">
        <f t="shared" si="2"/>
        <v>109.89016242522811</v>
      </c>
      <c r="L36" s="81">
        <f t="shared" si="3"/>
        <v>96.687492077359821</v>
      </c>
    </row>
    <row r="37" spans="1:12" x14ac:dyDescent="0.3">
      <c r="A37" s="58" t="s">
        <v>73</v>
      </c>
      <c r="B37" s="19" t="s">
        <v>30</v>
      </c>
      <c r="C37" s="22">
        <v>1</v>
      </c>
      <c r="D37" s="22">
        <v>3</v>
      </c>
      <c r="E37" s="22">
        <v>1</v>
      </c>
      <c r="F37" s="22">
        <v>1724</v>
      </c>
      <c r="G37" s="19" t="s">
        <v>68</v>
      </c>
      <c r="H37" s="22">
        <v>17.3</v>
      </c>
      <c r="I37" s="22">
        <v>17.399999999999999</v>
      </c>
      <c r="J37" s="65">
        <v>0.36792452830188677</v>
      </c>
      <c r="K37" s="81">
        <f t="shared" si="2"/>
        <v>107.55674627784676</v>
      </c>
      <c r="L37" s="81">
        <f t="shared" si="3"/>
        <v>99.915274994187001</v>
      </c>
    </row>
    <row r="38" spans="1:12" x14ac:dyDescent="0.3">
      <c r="A38" s="58" t="s">
        <v>73</v>
      </c>
      <c r="B38" s="19" t="s">
        <v>30</v>
      </c>
      <c r="C38" s="22">
        <v>1</v>
      </c>
      <c r="D38" s="22">
        <v>3</v>
      </c>
      <c r="E38" s="22">
        <v>1</v>
      </c>
      <c r="F38" s="22">
        <v>1730</v>
      </c>
      <c r="G38" s="19" t="s">
        <v>68</v>
      </c>
      <c r="H38" s="22">
        <v>18.3</v>
      </c>
      <c r="I38" s="22">
        <v>12.5</v>
      </c>
      <c r="J38" s="65">
        <v>0.34</v>
      </c>
      <c r="K38" s="81">
        <f t="shared" si="2"/>
        <v>80.468737409728789</v>
      </c>
      <c r="L38" s="81">
        <f t="shared" si="3"/>
        <v>92.33571118051573</v>
      </c>
    </row>
    <row r="39" spans="1:12" x14ac:dyDescent="0.3">
      <c r="A39" s="58" t="s">
        <v>73</v>
      </c>
      <c r="B39" s="19" t="s">
        <v>30</v>
      </c>
      <c r="C39" s="22">
        <v>1</v>
      </c>
      <c r="D39" s="22">
        <v>3</v>
      </c>
      <c r="E39" s="22">
        <v>2</v>
      </c>
      <c r="F39" s="22">
        <v>1750</v>
      </c>
      <c r="G39" s="19" t="s">
        <v>68</v>
      </c>
      <c r="H39" s="22">
        <v>12.6</v>
      </c>
      <c r="I39" s="22">
        <v>13</v>
      </c>
      <c r="J39" s="65">
        <v>0.39171974522292996</v>
      </c>
      <c r="K39" s="81">
        <f t="shared" si="2"/>
        <v>46.33307588428837</v>
      </c>
      <c r="L39" s="81">
        <f t="shared" si="3"/>
        <v>49.590999913035589</v>
      </c>
    </row>
    <row r="40" spans="1:12" x14ac:dyDescent="0.3">
      <c r="A40" s="58" t="s">
        <v>73</v>
      </c>
      <c r="B40" s="19" t="s">
        <v>30</v>
      </c>
      <c r="C40" s="22">
        <v>1</v>
      </c>
      <c r="D40" s="22">
        <v>2</v>
      </c>
      <c r="E40" s="22">
        <v>2</v>
      </c>
      <c r="F40" s="22">
        <v>4968</v>
      </c>
      <c r="G40" s="19" t="s">
        <v>68</v>
      </c>
      <c r="H40" s="22">
        <v>26.5</v>
      </c>
      <c r="I40" s="22">
        <v>16.3</v>
      </c>
      <c r="J40" s="65">
        <v>0.41425818882466281</v>
      </c>
      <c r="K40" s="81">
        <f t="shared" si="2"/>
        <v>260.46100241808335</v>
      </c>
      <c r="L40" s="81">
        <f t="shared" si="3"/>
        <v>273.04816205079283</v>
      </c>
    </row>
    <row r="41" spans="1:12" x14ac:dyDescent="0.3">
      <c r="A41" s="58" t="s">
        <v>72</v>
      </c>
      <c r="B41" s="19" t="s">
        <v>24</v>
      </c>
      <c r="C41" s="22">
        <v>1</v>
      </c>
      <c r="D41" s="22">
        <v>2</v>
      </c>
      <c r="E41" s="22">
        <v>1</v>
      </c>
      <c r="F41" s="22">
        <v>1374</v>
      </c>
      <c r="G41" s="19" t="s">
        <v>21</v>
      </c>
      <c r="H41" s="22">
        <v>10.9</v>
      </c>
      <c r="I41" s="22">
        <v>8.9</v>
      </c>
      <c r="J41" s="65">
        <v>0.5536723163841808</v>
      </c>
      <c r="K41" s="81">
        <f t="shared" si="2"/>
        <v>33.813566190380449</v>
      </c>
      <c r="L41" s="81">
        <f t="shared" si="3"/>
        <v>46.611329407870159</v>
      </c>
    </row>
    <row r="42" spans="1:12" x14ac:dyDescent="0.3">
      <c r="A42" s="58" t="s">
        <v>72</v>
      </c>
      <c r="B42" s="19" t="s">
        <v>30</v>
      </c>
      <c r="C42" s="22">
        <v>1</v>
      </c>
      <c r="D42" s="22">
        <v>3</v>
      </c>
      <c r="E42" s="22">
        <v>2</v>
      </c>
      <c r="F42" s="22">
        <v>1760</v>
      </c>
      <c r="G42" s="19" t="s">
        <v>21</v>
      </c>
      <c r="H42" s="22">
        <v>12.7</v>
      </c>
      <c r="I42" s="22">
        <v>14.6</v>
      </c>
      <c r="J42" s="65">
        <v>0.56756756756756754</v>
      </c>
      <c r="K42" s="81">
        <f t="shared" si="2"/>
        <v>75.677968221351819</v>
      </c>
      <c r="L42" s="81">
        <f t="shared" si="3"/>
        <v>78.20390633865253</v>
      </c>
    </row>
    <row r="43" spans="1:12" x14ac:dyDescent="0.3">
      <c r="A43" s="58" t="s">
        <v>72</v>
      </c>
      <c r="B43" s="19" t="s">
        <v>30</v>
      </c>
      <c r="C43" s="22">
        <v>1</v>
      </c>
      <c r="D43" s="22">
        <v>3</v>
      </c>
      <c r="E43" s="22">
        <v>2</v>
      </c>
      <c r="F43" s="22">
        <v>1762</v>
      </c>
      <c r="G43" s="19" t="s">
        <v>21</v>
      </c>
      <c r="H43" s="22">
        <v>13.6</v>
      </c>
      <c r="I43" s="22">
        <v>16.100000000000001</v>
      </c>
      <c r="J43" s="65">
        <v>0.64782608695652177</v>
      </c>
      <c r="K43" s="81">
        <f t="shared" si="2"/>
        <v>108.27507628589575</v>
      </c>
      <c r="L43" s="81">
        <f t="shared" si="3"/>
        <v>107.71453905887574</v>
      </c>
    </row>
    <row r="44" spans="1:12" x14ac:dyDescent="0.3">
      <c r="A44" s="58" t="s">
        <v>72</v>
      </c>
      <c r="B44" s="19" t="s">
        <v>24</v>
      </c>
      <c r="C44" s="22">
        <v>2</v>
      </c>
      <c r="D44" s="22">
        <v>3</v>
      </c>
      <c r="E44" s="22">
        <v>1</v>
      </c>
      <c r="F44" s="22">
        <v>682</v>
      </c>
      <c r="G44" s="19" t="s">
        <v>21</v>
      </c>
      <c r="H44" s="22">
        <v>10.6</v>
      </c>
      <c r="I44" s="22">
        <v>7.7</v>
      </c>
      <c r="J44" s="65">
        <v>0.55102040816326525</v>
      </c>
      <c r="K44" s="81">
        <f t="shared" si="2"/>
        <v>27.669844641226401</v>
      </c>
      <c r="L44" s="81">
        <f t="shared" si="3"/>
        <v>41.618413343797897</v>
      </c>
    </row>
    <row r="45" spans="1:12" x14ac:dyDescent="0.3">
      <c r="A45" s="58" t="s">
        <v>72</v>
      </c>
      <c r="B45" s="19" t="s">
        <v>30</v>
      </c>
      <c r="C45" s="22">
        <v>2</v>
      </c>
      <c r="D45" s="22">
        <v>2</v>
      </c>
      <c r="E45" s="22">
        <v>2</v>
      </c>
      <c r="F45" s="22">
        <v>463</v>
      </c>
      <c r="G45" s="19" t="s">
        <v>21</v>
      </c>
      <c r="H45" s="22">
        <v>13.8</v>
      </c>
      <c r="I45" s="22">
        <v>12.8</v>
      </c>
      <c r="J45" s="65">
        <v>0.61440677966101698</v>
      </c>
      <c r="K45" s="81">
        <f t="shared" si="2"/>
        <v>84.572472313041146</v>
      </c>
      <c r="L45" s="81">
        <f t="shared" si="3"/>
        <v>97.053024565573054</v>
      </c>
    </row>
    <row r="46" spans="1:12" x14ac:dyDescent="0.3">
      <c r="A46" s="58" t="s">
        <v>72</v>
      </c>
      <c r="B46" s="19" t="s">
        <v>24</v>
      </c>
      <c r="C46" s="22">
        <v>2</v>
      </c>
      <c r="D46" s="22">
        <v>3</v>
      </c>
      <c r="E46" s="22">
        <v>1</v>
      </c>
      <c r="F46" s="22">
        <v>676</v>
      </c>
      <c r="G46" s="19" t="s">
        <v>21</v>
      </c>
      <c r="H46" s="22">
        <v>12.1</v>
      </c>
      <c r="I46" s="22">
        <v>7.7</v>
      </c>
      <c r="J46" s="65">
        <v>0.51502145922746778</v>
      </c>
      <c r="K46" s="81">
        <f t="shared" si="2"/>
        <v>33.540425826412473</v>
      </c>
      <c r="L46" s="81">
        <f t="shared" si="3"/>
        <v>51.164125329074061</v>
      </c>
    </row>
    <row r="47" spans="1:12" x14ac:dyDescent="0.3">
      <c r="A47" s="58" t="s">
        <v>36</v>
      </c>
      <c r="B47" s="19" t="s">
        <v>30</v>
      </c>
      <c r="C47" s="22">
        <v>1</v>
      </c>
      <c r="D47" s="22">
        <v>3</v>
      </c>
      <c r="E47" s="22">
        <v>2</v>
      </c>
      <c r="F47" s="22">
        <v>1754</v>
      </c>
      <c r="G47" s="19" t="s">
        <v>37</v>
      </c>
      <c r="H47" s="22">
        <v>21.1</v>
      </c>
      <c r="I47" s="22">
        <v>16</v>
      </c>
      <c r="J47" s="65">
        <v>0.39500000000000002</v>
      </c>
      <c r="K47" s="81">
        <f t="shared" si="2"/>
        <v>156.49997963500013</v>
      </c>
      <c r="L47" s="81">
        <f t="shared" si="3"/>
        <v>159.37402756056949</v>
      </c>
    </row>
    <row r="48" spans="1:12" x14ac:dyDescent="0.3">
      <c r="A48" s="58" t="s">
        <v>36</v>
      </c>
      <c r="B48" s="19" t="s">
        <v>38</v>
      </c>
      <c r="C48" s="22">
        <v>1</v>
      </c>
      <c r="D48" s="22">
        <v>2</v>
      </c>
      <c r="E48" s="22">
        <v>2</v>
      </c>
      <c r="F48" s="22">
        <v>1999</v>
      </c>
      <c r="G48" s="19" t="s">
        <v>37</v>
      </c>
      <c r="H48" s="22">
        <v>18.100000000000001</v>
      </c>
      <c r="I48" s="22">
        <v>13.3</v>
      </c>
      <c r="J48" s="65">
        <v>0.46368715083798884</v>
      </c>
      <c r="K48" s="81">
        <f t="shared" si="2"/>
        <v>113.27093981115826</v>
      </c>
      <c r="L48" s="81">
        <f t="shared" si="3"/>
        <v>128.70085828195721</v>
      </c>
    </row>
    <row r="49" spans="1:12" x14ac:dyDescent="0.3">
      <c r="A49" s="58" t="s">
        <v>36</v>
      </c>
      <c r="B49" s="19" t="s">
        <v>30</v>
      </c>
      <c r="C49" s="22">
        <v>1</v>
      </c>
      <c r="D49" s="22">
        <v>2</v>
      </c>
      <c r="E49" s="22">
        <v>2</v>
      </c>
      <c r="F49" s="22">
        <v>4973</v>
      </c>
      <c r="G49" s="19" t="s">
        <v>37</v>
      </c>
      <c r="H49" s="22">
        <v>16</v>
      </c>
      <c r="I49" s="22">
        <v>13.6</v>
      </c>
      <c r="J49" s="65">
        <v>0.42857142857142855</v>
      </c>
      <c r="K49" s="81">
        <f t="shared" si="2"/>
        <v>84.264743373937264</v>
      </c>
      <c r="L49" s="81">
        <f t="shared" si="3"/>
        <v>91.839835170302948</v>
      </c>
    </row>
    <row r="50" spans="1:12" x14ac:dyDescent="0.3">
      <c r="A50" s="58" t="s">
        <v>36</v>
      </c>
      <c r="B50" s="19" t="s">
        <v>30</v>
      </c>
      <c r="C50" s="22">
        <v>2</v>
      </c>
      <c r="D50" s="22">
        <v>1</v>
      </c>
      <c r="E50" s="22">
        <v>2</v>
      </c>
      <c r="F50" s="22">
        <v>105</v>
      </c>
      <c r="G50" s="19" t="s">
        <v>37</v>
      </c>
      <c r="H50" s="22">
        <v>14.3</v>
      </c>
      <c r="I50" s="22">
        <v>13</v>
      </c>
      <c r="J50" s="65">
        <v>0.40625</v>
      </c>
      <c r="K50" s="81">
        <f t="shared" si="2"/>
        <v>61.464174648886299</v>
      </c>
      <c r="L50" s="81">
        <f t="shared" si="3"/>
        <v>67.362150563262205</v>
      </c>
    </row>
    <row r="51" spans="1:12" x14ac:dyDescent="0.3">
      <c r="A51" s="58" t="s">
        <v>36</v>
      </c>
      <c r="B51" s="19" t="s">
        <v>30</v>
      </c>
      <c r="C51" s="22">
        <v>2</v>
      </c>
      <c r="D51" s="22">
        <v>2</v>
      </c>
      <c r="E51" s="22">
        <v>1</v>
      </c>
      <c r="F51" s="22">
        <v>456</v>
      </c>
      <c r="G51" s="19" t="s">
        <v>37</v>
      </c>
      <c r="H51" s="22">
        <v>23.3</v>
      </c>
      <c r="I51" s="22">
        <v>14</v>
      </c>
      <c r="J51" s="65">
        <v>0.43792325056433407</v>
      </c>
      <c r="K51" s="81">
        <f t="shared" si="2"/>
        <v>184.38230356964721</v>
      </c>
      <c r="L51" s="81">
        <f t="shared" si="3"/>
        <v>209.81468271339196</v>
      </c>
    </row>
    <row r="52" spans="1:12" x14ac:dyDescent="0.3">
      <c r="A52" s="58" t="s">
        <v>36</v>
      </c>
      <c r="B52" s="19" t="s">
        <v>24</v>
      </c>
      <c r="C52" s="22">
        <v>2</v>
      </c>
      <c r="D52" s="22">
        <v>2</v>
      </c>
      <c r="E52" s="22">
        <v>1</v>
      </c>
      <c r="F52" s="22">
        <v>510</v>
      </c>
      <c r="G52" s="19" t="s">
        <v>37</v>
      </c>
      <c r="H52" s="22">
        <v>12</v>
      </c>
      <c r="I52" s="22">
        <v>8.1999999999999993</v>
      </c>
      <c r="J52" s="65">
        <v>0.45070422535211269</v>
      </c>
      <c r="K52" s="81">
        <f t="shared" si="2"/>
        <v>30.807567373997031</v>
      </c>
      <c r="L52" s="81">
        <f t="shared" si="3"/>
        <v>44.48935660933217</v>
      </c>
    </row>
    <row r="53" spans="1:12" x14ac:dyDescent="0.3">
      <c r="A53" s="58" t="s">
        <v>29</v>
      </c>
      <c r="B53" s="19" t="s">
        <v>30</v>
      </c>
      <c r="C53" s="22">
        <v>1</v>
      </c>
      <c r="D53" s="22">
        <v>3</v>
      </c>
      <c r="E53" s="22">
        <v>1</v>
      </c>
      <c r="F53" s="22">
        <v>1713</v>
      </c>
      <c r="G53" s="19" t="s">
        <v>21</v>
      </c>
      <c r="H53" s="22">
        <v>10.199999999999999</v>
      </c>
      <c r="I53" s="22">
        <v>13.8</v>
      </c>
      <c r="J53" s="65">
        <v>0.65610859728506787</v>
      </c>
      <c r="K53" s="81">
        <f t="shared" si="2"/>
        <v>53.788929227237517</v>
      </c>
      <c r="L53" s="81">
        <f t="shared" si="3"/>
        <v>56.472083697609506</v>
      </c>
    </row>
    <row r="54" spans="1:12" x14ac:dyDescent="0.3">
      <c r="A54" s="58" t="s">
        <v>29</v>
      </c>
      <c r="B54" s="19" t="s">
        <v>30</v>
      </c>
      <c r="C54" s="22">
        <v>1</v>
      </c>
      <c r="D54" s="22">
        <v>3</v>
      </c>
      <c r="E54" s="22">
        <v>2</v>
      </c>
      <c r="F54" s="22">
        <v>1740</v>
      </c>
      <c r="G54" s="19" t="s">
        <v>21</v>
      </c>
      <c r="H54" s="22">
        <v>13</v>
      </c>
      <c r="I54" s="22">
        <v>16.899999999999999</v>
      </c>
      <c r="J54" s="65">
        <v>0.71647509578544066</v>
      </c>
      <c r="K54" s="81">
        <f t="shared" si="2"/>
        <v>114.69016682393941</v>
      </c>
      <c r="L54" s="81">
        <f t="shared" si="3"/>
        <v>110.96837794706217</v>
      </c>
    </row>
    <row r="55" spans="1:12" x14ac:dyDescent="0.3">
      <c r="A55" s="58" t="s">
        <v>29</v>
      </c>
      <c r="B55" s="19" t="s">
        <v>30</v>
      </c>
      <c r="C55" s="22">
        <v>1</v>
      </c>
      <c r="D55" s="22">
        <v>3</v>
      </c>
      <c r="E55" s="22">
        <v>2</v>
      </c>
      <c r="F55" s="22">
        <v>1742</v>
      </c>
      <c r="G55" s="19" t="s">
        <v>21</v>
      </c>
      <c r="H55" s="22">
        <v>15.6</v>
      </c>
      <c r="I55" s="22">
        <v>15.5</v>
      </c>
      <c r="J55" s="66">
        <v>0.72508591065292094</v>
      </c>
      <c r="K55" s="81">
        <f t="shared" si="2"/>
        <v>152.22926017744911</v>
      </c>
      <c r="L55" s="81">
        <f t="shared" si="3"/>
        <v>160.35807576360671</v>
      </c>
    </row>
    <row r="56" spans="1:12" x14ac:dyDescent="0.3">
      <c r="A56" s="58" t="s">
        <v>29</v>
      </c>
      <c r="B56" s="19" t="s">
        <v>30</v>
      </c>
      <c r="C56" s="22">
        <v>2</v>
      </c>
      <c r="D56" s="22">
        <v>1</v>
      </c>
      <c r="E56" s="22">
        <v>2</v>
      </c>
      <c r="F56" s="22">
        <v>101</v>
      </c>
      <c r="G56" s="19" t="s">
        <v>21</v>
      </c>
      <c r="H56" s="22">
        <v>14</v>
      </c>
      <c r="I56" s="22">
        <v>14.2</v>
      </c>
      <c r="J56" s="67">
        <v>0.69483568075117375</v>
      </c>
      <c r="K56" s="81">
        <f t="shared" si="2"/>
        <v>108.53438638693694</v>
      </c>
      <c r="L56" s="81">
        <f t="shared" si="3"/>
        <v>118.32075386964489</v>
      </c>
    </row>
    <row r="57" spans="1:12" x14ac:dyDescent="0.3">
      <c r="A57" s="58" t="s">
        <v>29</v>
      </c>
      <c r="B57" s="19" t="s">
        <v>30</v>
      </c>
      <c r="C57" s="22">
        <v>2</v>
      </c>
      <c r="D57" s="22">
        <v>2</v>
      </c>
      <c r="E57" s="22">
        <v>2</v>
      </c>
      <c r="F57" s="22">
        <v>474</v>
      </c>
      <c r="G57" s="19" t="s">
        <v>21</v>
      </c>
      <c r="H57" s="22">
        <v>10.7</v>
      </c>
      <c r="I57" s="22">
        <v>12.3</v>
      </c>
      <c r="J57" s="65">
        <v>0.67073170731707321</v>
      </c>
      <c r="K57" s="81">
        <f t="shared" si="2"/>
        <v>53.930103286993706</v>
      </c>
      <c r="L57" s="81">
        <f t="shared" si="3"/>
        <v>61.518580731528658</v>
      </c>
    </row>
    <row r="58" spans="1:12" x14ac:dyDescent="0.3">
      <c r="A58" s="58" t="s">
        <v>29</v>
      </c>
      <c r="B58" s="19" t="s">
        <v>30</v>
      </c>
      <c r="C58" s="22">
        <v>2</v>
      </c>
      <c r="D58" s="22">
        <v>2</v>
      </c>
      <c r="E58" s="22">
        <v>2</v>
      </c>
      <c r="F58" s="22">
        <v>480</v>
      </c>
      <c r="G58" s="19" t="s">
        <v>21</v>
      </c>
      <c r="H58" s="22">
        <v>18.3</v>
      </c>
      <c r="I58" s="22">
        <v>12.8</v>
      </c>
      <c r="J58" s="65">
        <v>0.703125</v>
      </c>
      <c r="K58" s="81">
        <f t="shared" si="2"/>
        <v>167.3633192995633</v>
      </c>
      <c r="L58" s="81">
        <f t="shared" si="3"/>
        <v>203.57429313665691</v>
      </c>
    </row>
    <row r="59" spans="1:12" x14ac:dyDescent="0.3">
      <c r="A59" s="58" t="s">
        <v>82</v>
      </c>
      <c r="B59" s="7" t="s">
        <v>20</v>
      </c>
      <c r="C59" s="16">
        <v>1</v>
      </c>
      <c r="D59" s="16">
        <v>1</v>
      </c>
      <c r="E59" s="16">
        <v>2</v>
      </c>
      <c r="F59" s="16">
        <v>2012</v>
      </c>
      <c r="G59" s="7" t="s">
        <v>21</v>
      </c>
      <c r="H59" s="21">
        <v>10.4</v>
      </c>
      <c r="I59" s="21">
        <v>8.9</v>
      </c>
      <c r="J59" s="52">
        <v>0.323709941</v>
      </c>
      <c r="K59" s="81">
        <f t="shared" si="2"/>
        <v>18.271789392578764</v>
      </c>
      <c r="L59" s="81">
        <f t="shared" si="3"/>
        <v>23.681908605441372</v>
      </c>
    </row>
    <row r="60" spans="1:12" x14ac:dyDescent="0.3">
      <c r="A60" s="58" t="s">
        <v>82</v>
      </c>
      <c r="B60" s="7" t="s">
        <v>24</v>
      </c>
      <c r="C60" s="16">
        <v>1</v>
      </c>
      <c r="D60" s="16">
        <v>3</v>
      </c>
      <c r="E60" s="16">
        <v>2</v>
      </c>
      <c r="F60" s="16">
        <v>1269</v>
      </c>
      <c r="G60" s="7" t="s">
        <v>21</v>
      </c>
      <c r="H60" s="21">
        <v>18.8</v>
      </c>
      <c r="I60" s="21">
        <v>10.3</v>
      </c>
      <c r="J60" s="52">
        <v>0.325017326</v>
      </c>
      <c r="K60" s="81">
        <f t="shared" si="2"/>
        <v>67.192542383135475</v>
      </c>
      <c r="L60" s="81">
        <f t="shared" si="3"/>
        <v>87.177966375602537</v>
      </c>
    </row>
    <row r="61" spans="1:12" x14ac:dyDescent="0.3">
      <c r="A61" s="58" t="s">
        <v>82</v>
      </c>
      <c r="B61" s="7" t="s">
        <v>24</v>
      </c>
      <c r="C61" s="16">
        <v>1</v>
      </c>
      <c r="D61" s="16">
        <v>1</v>
      </c>
      <c r="E61" s="16">
        <v>2</v>
      </c>
      <c r="F61" s="16">
        <v>1695</v>
      </c>
      <c r="G61" s="7" t="s">
        <v>21</v>
      </c>
      <c r="H61" s="21">
        <v>25.8</v>
      </c>
      <c r="I61" s="21">
        <v>16</v>
      </c>
      <c r="J61" s="52">
        <v>0.347065495</v>
      </c>
      <c r="K61" s="81">
        <f t="shared" si="2"/>
        <v>204.24874532059059</v>
      </c>
      <c r="L61" s="81">
        <f t="shared" si="3"/>
        <v>211.92744102168967</v>
      </c>
    </row>
    <row r="62" spans="1:12" x14ac:dyDescent="0.3">
      <c r="A62" s="58" t="s">
        <v>82</v>
      </c>
      <c r="B62" s="7" t="s">
        <v>26</v>
      </c>
      <c r="C62" s="16">
        <v>2</v>
      </c>
      <c r="D62" s="16">
        <v>2</v>
      </c>
      <c r="E62" s="16">
        <v>1</v>
      </c>
      <c r="F62" s="16">
        <v>492</v>
      </c>
      <c r="G62" s="7" t="s">
        <v>21</v>
      </c>
      <c r="H62" s="21">
        <v>14.5</v>
      </c>
      <c r="I62" s="21">
        <v>8.3000000000000007</v>
      </c>
      <c r="J62" s="52">
        <v>0.28791350799999998</v>
      </c>
      <c r="K62" s="81">
        <f t="shared" si="2"/>
        <v>29.124962499737148</v>
      </c>
      <c r="L62" s="81">
        <f t="shared" si="3"/>
        <v>41.100201918369862</v>
      </c>
    </row>
    <row r="63" spans="1:12" x14ac:dyDescent="0.3">
      <c r="A63" s="58" t="s">
        <v>82</v>
      </c>
      <c r="B63" s="7" t="s">
        <v>20</v>
      </c>
      <c r="C63" s="16">
        <v>2</v>
      </c>
      <c r="D63" s="16">
        <v>2</v>
      </c>
      <c r="E63" s="16">
        <v>2</v>
      </c>
      <c r="F63" s="16">
        <v>332</v>
      </c>
      <c r="G63" s="7" t="s">
        <v>21</v>
      </c>
      <c r="H63" s="21">
        <v>25.2</v>
      </c>
      <c r="I63" s="21">
        <v>10.4</v>
      </c>
      <c r="J63" s="52">
        <v>0.31213714199999998</v>
      </c>
      <c r="K63" s="81">
        <f t="shared" si="2"/>
        <v>115.5193183976905</v>
      </c>
      <c r="L63" s="81">
        <f t="shared" si="3"/>
        <v>155.38254365784886</v>
      </c>
    </row>
    <row r="64" spans="1:12" x14ac:dyDescent="0.3">
      <c r="A64" s="58" t="s">
        <v>82</v>
      </c>
      <c r="B64" s="7" t="s">
        <v>20</v>
      </c>
      <c r="C64" s="16">
        <v>2</v>
      </c>
      <c r="D64" s="16">
        <v>3</v>
      </c>
      <c r="E64" s="16">
        <v>1</v>
      </c>
      <c r="F64" s="16">
        <v>715</v>
      </c>
      <c r="G64" s="7" t="s">
        <v>21</v>
      </c>
      <c r="H64" s="21">
        <v>26.2</v>
      </c>
      <c r="I64" s="21">
        <v>9.4</v>
      </c>
      <c r="J64" s="52">
        <v>0.36517019699999997</v>
      </c>
      <c r="K64" s="81">
        <f t="shared" si="2"/>
        <v>131.61561213133069</v>
      </c>
      <c r="L64" s="81">
        <f t="shared" si="3"/>
        <v>192.98891385530942</v>
      </c>
    </row>
    <row r="65" spans="1:12" x14ac:dyDescent="0.3">
      <c r="A65" s="58" t="s">
        <v>85</v>
      </c>
      <c r="B65" s="7" t="s">
        <v>30</v>
      </c>
      <c r="C65" s="16">
        <v>1</v>
      </c>
      <c r="D65" s="16">
        <v>1</v>
      </c>
      <c r="E65" s="16">
        <v>2</v>
      </c>
      <c r="F65" s="16">
        <v>1323</v>
      </c>
      <c r="G65" s="7" t="s">
        <v>86</v>
      </c>
      <c r="H65" s="21">
        <v>22.3</v>
      </c>
      <c r="I65" s="21">
        <v>14</v>
      </c>
      <c r="J65" s="52">
        <v>0.52661747799999992</v>
      </c>
      <c r="K65" s="81">
        <f t="shared" si="2"/>
        <v>202.63128668042239</v>
      </c>
      <c r="L65" s="81">
        <f t="shared" si="3"/>
        <v>233.29363976011305</v>
      </c>
    </row>
    <row r="66" spans="1:12" x14ac:dyDescent="0.3">
      <c r="A66" s="58" t="s">
        <v>85</v>
      </c>
      <c r="B66" s="7" t="s">
        <v>30</v>
      </c>
      <c r="C66" s="16">
        <v>1</v>
      </c>
      <c r="D66" s="16">
        <v>3</v>
      </c>
      <c r="E66" s="16">
        <v>1</v>
      </c>
      <c r="F66" s="16">
        <v>1720</v>
      </c>
      <c r="G66" s="7" t="s">
        <v>86</v>
      </c>
      <c r="H66" s="21">
        <v>24.6</v>
      </c>
      <c r="I66" s="21">
        <v>17.399999999999999</v>
      </c>
      <c r="J66" s="52">
        <v>0.52435211349999999</v>
      </c>
      <c r="K66" s="81">
        <f t="shared" ref="K66:K97" si="4">((0.0673)*((J66*H66^2*I66)^0.976))</f>
        <v>302.16804164159043</v>
      </c>
      <c r="L66" s="81">
        <f t="shared" ref="L66:L97" si="5">EXP(-1.305+1.055*LN(H66^2)+0.34*LN(I66)+1.077*LN(J66))</f>
        <v>307.56684459306632</v>
      </c>
    </row>
    <row r="67" spans="1:12" x14ac:dyDescent="0.3">
      <c r="A67" s="58" t="s">
        <v>85</v>
      </c>
      <c r="B67" s="7" t="s">
        <v>30</v>
      </c>
      <c r="C67" s="16">
        <v>1</v>
      </c>
      <c r="D67" s="16">
        <v>3</v>
      </c>
      <c r="E67" s="16"/>
      <c r="F67" s="16">
        <v>413</v>
      </c>
      <c r="G67" s="7" t="s">
        <v>86</v>
      </c>
      <c r="H67" s="21">
        <v>40.1</v>
      </c>
      <c r="I67" s="21">
        <v>16.3</v>
      </c>
      <c r="J67" s="52">
        <v>0.59839607350000001</v>
      </c>
      <c r="K67" s="81">
        <f t="shared" si="4"/>
        <v>837.12244607778234</v>
      </c>
      <c r="L67" s="81">
        <f t="shared" si="5"/>
        <v>972.39111203948562</v>
      </c>
    </row>
    <row r="68" spans="1:12" x14ac:dyDescent="0.3">
      <c r="A68" s="58" t="s">
        <v>85</v>
      </c>
      <c r="B68" s="7" t="s">
        <v>30</v>
      </c>
      <c r="C68" s="16">
        <v>2</v>
      </c>
      <c r="D68" s="16">
        <v>2</v>
      </c>
      <c r="E68" s="16">
        <v>1</v>
      </c>
      <c r="F68" s="16">
        <v>442</v>
      </c>
      <c r="G68" s="7" t="s">
        <v>86</v>
      </c>
      <c r="H68" s="21">
        <v>15.6</v>
      </c>
      <c r="I68" s="21">
        <v>11.6</v>
      </c>
      <c r="J68" s="52">
        <v>0.48454364475</v>
      </c>
      <c r="K68" s="81">
        <f t="shared" si="4"/>
        <v>77.408774117320149</v>
      </c>
      <c r="L68" s="81">
        <f t="shared" si="5"/>
        <v>94.136458381900852</v>
      </c>
    </row>
    <row r="69" spans="1:12" x14ac:dyDescent="0.3">
      <c r="A69" s="58" t="s">
        <v>85</v>
      </c>
      <c r="B69" s="7" t="s">
        <v>30</v>
      </c>
      <c r="C69" s="16">
        <v>2</v>
      </c>
      <c r="D69" s="16">
        <v>1</v>
      </c>
      <c r="E69" s="16"/>
      <c r="F69" s="16">
        <v>313</v>
      </c>
      <c r="G69" s="7" t="s">
        <v>86</v>
      </c>
      <c r="H69" s="21">
        <v>14.4</v>
      </c>
      <c r="I69" s="21">
        <v>13.3</v>
      </c>
      <c r="J69" s="52">
        <v>0.54965722949999996</v>
      </c>
      <c r="K69" s="81">
        <f t="shared" si="4"/>
        <v>85.575134069886104</v>
      </c>
      <c r="L69" s="81">
        <f t="shared" si="5"/>
        <v>95.406758699280559</v>
      </c>
    </row>
    <row r="70" spans="1:12" x14ac:dyDescent="0.3">
      <c r="A70" s="58" t="s">
        <v>79</v>
      </c>
      <c r="B70" s="7" t="s">
        <v>24</v>
      </c>
      <c r="C70" s="16">
        <v>1</v>
      </c>
      <c r="D70" s="16">
        <v>1</v>
      </c>
      <c r="E70" s="16">
        <v>1</v>
      </c>
      <c r="F70" s="16">
        <v>1672</v>
      </c>
      <c r="G70" s="7" t="s">
        <v>21</v>
      </c>
      <c r="H70" s="21">
        <v>12.4</v>
      </c>
      <c r="I70" s="21">
        <v>11.2</v>
      </c>
      <c r="J70" s="52">
        <v>0.77426842799999995</v>
      </c>
      <c r="K70" s="81">
        <f t="shared" si="4"/>
        <v>75.503856946655816</v>
      </c>
      <c r="L70" s="81">
        <f t="shared" si="5"/>
        <v>94.937061332243715</v>
      </c>
    </row>
    <row r="71" spans="1:12" x14ac:dyDescent="0.3">
      <c r="A71" s="58" t="s">
        <v>79</v>
      </c>
      <c r="B71" s="7" t="s">
        <v>26</v>
      </c>
      <c r="C71" s="16">
        <v>1</v>
      </c>
      <c r="D71" s="16">
        <v>3</v>
      </c>
      <c r="E71" s="16">
        <v>1</v>
      </c>
      <c r="F71" s="16">
        <v>1203</v>
      </c>
      <c r="G71" s="7" t="s">
        <v>21</v>
      </c>
      <c r="H71" s="21">
        <v>16.399999999999999</v>
      </c>
      <c r="I71" s="21">
        <v>15.3</v>
      </c>
      <c r="J71" s="52">
        <v>0.747475</v>
      </c>
      <c r="K71" s="81">
        <f t="shared" si="4"/>
        <v>170.71805093263515</v>
      </c>
      <c r="L71" s="81">
        <f t="shared" si="5"/>
        <v>183.32636299059052</v>
      </c>
    </row>
    <row r="72" spans="1:12" x14ac:dyDescent="0.3">
      <c r="A72" s="58" t="s">
        <v>79</v>
      </c>
      <c r="B72" s="7" t="s">
        <v>20</v>
      </c>
      <c r="C72" s="16">
        <v>1</v>
      </c>
      <c r="D72" s="16">
        <v>2</v>
      </c>
      <c r="E72" s="16">
        <v>2</v>
      </c>
      <c r="F72" s="16">
        <v>7465</v>
      </c>
      <c r="G72" s="7" t="s">
        <v>21</v>
      </c>
      <c r="H72" s="21">
        <v>28.1</v>
      </c>
      <c r="I72" s="21">
        <v>13.1</v>
      </c>
      <c r="J72" s="52">
        <v>0.75615252483599993</v>
      </c>
      <c r="K72" s="81">
        <f t="shared" si="4"/>
        <v>424.49185943663838</v>
      </c>
      <c r="L72" s="81">
        <f t="shared" si="5"/>
        <v>548.46713308919868</v>
      </c>
    </row>
    <row r="73" spans="1:12" x14ac:dyDescent="0.3">
      <c r="A73" s="58" t="s">
        <v>79</v>
      </c>
      <c r="B73" s="7" t="s">
        <v>30</v>
      </c>
      <c r="C73" s="16">
        <v>2</v>
      </c>
      <c r="D73" s="16">
        <v>1</v>
      </c>
      <c r="E73" s="16">
        <v>2</v>
      </c>
      <c r="F73" s="16">
        <v>98</v>
      </c>
      <c r="G73" s="7" t="s">
        <v>21</v>
      </c>
      <c r="H73" s="21">
        <v>11.8</v>
      </c>
      <c r="I73" s="21">
        <v>16.5</v>
      </c>
      <c r="J73" s="52">
        <v>0.74150346499999997</v>
      </c>
      <c r="K73" s="81">
        <f t="shared" si="4"/>
        <v>95.901089352373248</v>
      </c>
      <c r="L73" s="81">
        <f t="shared" si="5"/>
        <v>93.105037121132554</v>
      </c>
    </row>
    <row r="74" spans="1:12" x14ac:dyDescent="0.3">
      <c r="A74" s="58" t="s">
        <v>79</v>
      </c>
      <c r="B74" s="7" t="s">
        <v>26</v>
      </c>
      <c r="C74" s="16">
        <v>2</v>
      </c>
      <c r="D74" s="16">
        <v>3</v>
      </c>
      <c r="E74" s="16">
        <v>2</v>
      </c>
      <c r="F74" s="16">
        <v>668</v>
      </c>
      <c r="G74" s="7" t="s">
        <v>21</v>
      </c>
      <c r="H74" s="21">
        <v>13.9</v>
      </c>
      <c r="I74" s="21">
        <v>8.5</v>
      </c>
      <c r="J74" s="52">
        <v>0.77283480800000004</v>
      </c>
      <c r="K74" s="81">
        <f t="shared" si="4"/>
        <v>71.955736017915456</v>
      </c>
      <c r="L74" s="81">
        <f t="shared" si="5"/>
        <v>109.76874844245815</v>
      </c>
    </row>
    <row r="75" spans="1:12" x14ac:dyDescent="0.3">
      <c r="A75" s="58" t="s">
        <v>79</v>
      </c>
      <c r="B75" s="7" t="s">
        <v>20</v>
      </c>
      <c r="C75" s="16">
        <v>2</v>
      </c>
      <c r="D75" s="16">
        <v>3</v>
      </c>
      <c r="E75" s="16">
        <v>2</v>
      </c>
      <c r="F75" s="16">
        <v>722</v>
      </c>
      <c r="G75" s="7" t="s">
        <v>21</v>
      </c>
      <c r="H75" s="21">
        <v>21.2</v>
      </c>
      <c r="I75" s="21">
        <v>14.9</v>
      </c>
      <c r="J75" s="52">
        <v>0.74427674977799996</v>
      </c>
      <c r="K75" s="81">
        <f t="shared" si="4"/>
        <v>273.44204180539793</v>
      </c>
      <c r="L75" s="81">
        <f t="shared" si="5"/>
        <v>310.85345891272357</v>
      </c>
    </row>
    <row r="76" spans="1:12" x14ac:dyDescent="0.3">
      <c r="A76" s="58" t="s">
        <v>74</v>
      </c>
      <c r="B76" s="19" t="s">
        <v>26</v>
      </c>
      <c r="C76" s="22">
        <v>1</v>
      </c>
      <c r="D76" s="22">
        <v>3</v>
      </c>
      <c r="E76" s="22">
        <v>2</v>
      </c>
      <c r="F76" s="22">
        <v>1216</v>
      </c>
      <c r="G76" s="19" t="s">
        <v>21</v>
      </c>
      <c r="H76" s="22">
        <v>26.2</v>
      </c>
      <c r="I76" s="22">
        <v>25.4</v>
      </c>
      <c r="J76" s="65">
        <v>0.71966527196652719</v>
      </c>
      <c r="K76" s="81">
        <f t="shared" si="4"/>
        <v>673.31192321658455</v>
      </c>
      <c r="L76" s="81">
        <f t="shared" si="5"/>
        <v>561.8682444819467</v>
      </c>
    </row>
    <row r="77" spans="1:12" x14ac:dyDescent="0.3">
      <c r="A77" s="58" t="s">
        <v>74</v>
      </c>
      <c r="B77" s="19" t="s">
        <v>59</v>
      </c>
      <c r="C77" s="22">
        <v>1</v>
      </c>
      <c r="D77" s="22">
        <v>1</v>
      </c>
      <c r="E77" s="22">
        <v>2</v>
      </c>
      <c r="F77" s="22">
        <v>1768</v>
      </c>
      <c r="G77" s="19" t="s">
        <v>21</v>
      </c>
      <c r="H77" s="22">
        <v>13.4</v>
      </c>
      <c r="I77" s="22">
        <v>9.1999999999999993</v>
      </c>
      <c r="J77" s="65">
        <v>0.52684563758389258</v>
      </c>
      <c r="K77" s="81">
        <f t="shared" si="4"/>
        <v>49.790161749182154</v>
      </c>
      <c r="L77" s="81">
        <f t="shared" si="5"/>
        <v>69.084035106412657</v>
      </c>
    </row>
    <row r="78" spans="1:12" x14ac:dyDescent="0.3">
      <c r="A78" s="58" t="s">
        <v>74</v>
      </c>
      <c r="B78" s="19" t="s">
        <v>38</v>
      </c>
      <c r="C78" s="22">
        <v>1</v>
      </c>
      <c r="D78" s="22">
        <v>2</v>
      </c>
      <c r="E78" s="22">
        <v>1</v>
      </c>
      <c r="F78" s="22">
        <v>1966</v>
      </c>
      <c r="G78" s="19" t="s">
        <v>21</v>
      </c>
      <c r="H78" s="22">
        <v>18.2</v>
      </c>
      <c r="I78" s="22">
        <v>15.5</v>
      </c>
      <c r="J78" s="65">
        <v>0.48806366047745359</v>
      </c>
      <c r="K78" s="81">
        <f t="shared" si="4"/>
        <v>139.76266990555814</v>
      </c>
      <c r="L78" s="81">
        <f t="shared" si="5"/>
        <v>144.94334119994252</v>
      </c>
    </row>
    <row r="79" spans="1:12" x14ac:dyDescent="0.3">
      <c r="A79" s="58" t="s">
        <v>74</v>
      </c>
      <c r="B79" s="19" t="s">
        <v>38</v>
      </c>
      <c r="C79" s="22">
        <v>1</v>
      </c>
      <c r="D79" s="22">
        <v>2</v>
      </c>
      <c r="E79" s="22">
        <v>1</v>
      </c>
      <c r="F79" s="22">
        <v>1968</v>
      </c>
      <c r="G79" s="19" t="s">
        <v>21</v>
      </c>
      <c r="H79" s="22">
        <v>13.7</v>
      </c>
      <c r="I79" s="22">
        <v>8.9</v>
      </c>
      <c r="J79" s="65">
        <v>0.50764525993883791</v>
      </c>
      <c r="K79" s="81">
        <f t="shared" si="4"/>
        <v>48.542835974039988</v>
      </c>
      <c r="L79" s="81">
        <f t="shared" si="5"/>
        <v>68.771291653211193</v>
      </c>
    </row>
    <row r="80" spans="1:12" x14ac:dyDescent="0.3">
      <c r="A80" s="58" t="s">
        <v>74</v>
      </c>
      <c r="B80" s="19" t="s">
        <v>38</v>
      </c>
      <c r="C80" s="22">
        <v>1</v>
      </c>
      <c r="D80" s="22">
        <v>2</v>
      </c>
      <c r="E80" s="22">
        <v>1</v>
      </c>
      <c r="F80" s="22">
        <v>1975</v>
      </c>
      <c r="G80" s="19" t="s">
        <v>21</v>
      </c>
      <c r="H80" s="22">
        <v>13.9</v>
      </c>
      <c r="I80" s="22">
        <v>12.3</v>
      </c>
      <c r="J80" s="65">
        <v>0.54304635761589404</v>
      </c>
      <c r="K80" s="81">
        <f t="shared" si="4"/>
        <v>73.135487808863445</v>
      </c>
      <c r="L80" s="81">
        <f t="shared" si="5"/>
        <v>85.112630744970375</v>
      </c>
    </row>
    <row r="81" spans="1:12" x14ac:dyDescent="0.3">
      <c r="A81" s="58" t="s">
        <v>74</v>
      </c>
      <c r="B81" s="19" t="s">
        <v>38</v>
      </c>
      <c r="C81" s="22">
        <v>1</v>
      </c>
      <c r="D81" s="22">
        <v>1</v>
      </c>
      <c r="E81" s="22">
        <v>1</v>
      </c>
      <c r="F81" s="22">
        <v>3269</v>
      </c>
      <c r="G81" s="19" t="s">
        <v>21</v>
      </c>
      <c r="H81" s="22">
        <v>17.7</v>
      </c>
      <c r="I81" s="22">
        <v>16.5</v>
      </c>
      <c r="J81" s="65">
        <v>0.56195965417867433</v>
      </c>
      <c r="K81" s="81">
        <f t="shared" si="4"/>
        <v>161.44902365326683</v>
      </c>
      <c r="L81" s="81">
        <f t="shared" si="5"/>
        <v>162.49734376781083</v>
      </c>
    </row>
    <row r="82" spans="1:12" x14ac:dyDescent="0.3">
      <c r="A82" s="58" t="s">
        <v>83</v>
      </c>
      <c r="B82" s="7" t="s">
        <v>30</v>
      </c>
      <c r="C82" s="16">
        <v>2</v>
      </c>
      <c r="D82" s="16">
        <v>1</v>
      </c>
      <c r="E82" s="16"/>
      <c r="F82" s="16">
        <v>496</v>
      </c>
      <c r="G82" s="7" t="s">
        <v>84</v>
      </c>
      <c r="H82" s="21">
        <v>19.899999999999999</v>
      </c>
      <c r="I82" s="21">
        <v>8.1</v>
      </c>
      <c r="J82" s="52">
        <v>0.70277513399999991</v>
      </c>
      <c r="K82" s="81">
        <f t="shared" si="4"/>
        <v>126.0522032793059</v>
      </c>
      <c r="L82" s="81">
        <f t="shared" si="5"/>
        <v>207.84129857099856</v>
      </c>
    </row>
    <row r="83" spans="1:12" x14ac:dyDescent="0.3">
      <c r="A83" s="58" t="s">
        <v>83</v>
      </c>
      <c r="B83" s="7" t="s">
        <v>30</v>
      </c>
      <c r="C83" s="16">
        <v>1</v>
      </c>
      <c r="D83" s="16">
        <v>2</v>
      </c>
      <c r="E83" s="16">
        <v>1</v>
      </c>
      <c r="F83" s="16">
        <v>4964</v>
      </c>
      <c r="G83" s="7" t="s">
        <v>84</v>
      </c>
      <c r="H83" s="30">
        <f>SQRT(19.9^2+5.5^2)</f>
        <v>20.646065000382034</v>
      </c>
      <c r="I83" s="21">
        <v>9.6</v>
      </c>
      <c r="J83" s="52">
        <v>0.67274608633333344</v>
      </c>
      <c r="K83" s="81">
        <f t="shared" si="4"/>
        <v>153.19935258295473</v>
      </c>
      <c r="L83" s="81">
        <f t="shared" si="5"/>
        <v>227.04938177052773</v>
      </c>
    </row>
    <row r="84" spans="1:12" x14ac:dyDescent="0.3">
      <c r="A84" s="58" t="s">
        <v>83</v>
      </c>
      <c r="B84" s="7" t="s">
        <v>30</v>
      </c>
      <c r="C84" s="16">
        <v>1</v>
      </c>
      <c r="D84" s="16">
        <v>2</v>
      </c>
      <c r="E84" s="16">
        <v>2</v>
      </c>
      <c r="F84" s="16">
        <v>4974</v>
      </c>
      <c r="G84" s="7" t="s">
        <v>84</v>
      </c>
      <c r="H84" s="30">
        <f>SQRT(29.5^2+16.4^2)</f>
        <v>33.752185114448515</v>
      </c>
      <c r="I84" s="21">
        <v>12.3</v>
      </c>
      <c r="J84" s="52">
        <v>0.68866875125000004</v>
      </c>
      <c r="K84" s="81">
        <f t="shared" si="4"/>
        <v>521.08176874318247</v>
      </c>
      <c r="L84" s="81">
        <f t="shared" si="5"/>
        <v>714.60756926936097</v>
      </c>
    </row>
    <row r="85" spans="1:12" x14ac:dyDescent="0.3">
      <c r="A85" s="58" t="s">
        <v>83</v>
      </c>
      <c r="B85" s="7" t="s">
        <v>30</v>
      </c>
      <c r="C85" s="16">
        <v>1</v>
      </c>
      <c r="D85" s="16">
        <v>1</v>
      </c>
      <c r="E85" s="16">
        <v>1</v>
      </c>
      <c r="F85" s="16">
        <v>1312</v>
      </c>
      <c r="G85" s="7" t="s">
        <v>84</v>
      </c>
      <c r="H85" s="30">
        <f>SQRT(4.9^2 + 2^2 + 5.4^2 + 22^2)</f>
        <v>23.263060847618483</v>
      </c>
      <c r="I85" s="21">
        <v>6.3</v>
      </c>
      <c r="J85" s="52">
        <v>0.59479381399999998</v>
      </c>
      <c r="K85" s="81">
        <f t="shared" si="4"/>
        <v>113.68071413219943</v>
      </c>
      <c r="L85" s="81">
        <f t="shared" si="5"/>
        <v>221.65687937476713</v>
      </c>
    </row>
    <row r="86" spans="1:12" x14ac:dyDescent="0.3">
      <c r="A86" s="58" t="s">
        <v>83</v>
      </c>
      <c r="B86" s="7" t="s">
        <v>30</v>
      </c>
      <c r="C86" s="16">
        <v>1</v>
      </c>
      <c r="D86" s="16">
        <v>1</v>
      </c>
      <c r="E86" s="16"/>
      <c r="F86" s="16">
        <v>2876</v>
      </c>
      <c r="G86" s="7" t="s">
        <v>84</v>
      </c>
      <c r="H86" s="21">
        <v>30.6</v>
      </c>
      <c r="I86" s="21">
        <v>12</v>
      </c>
      <c r="J86" s="52">
        <v>0.69101458650000003</v>
      </c>
      <c r="K86" s="81">
        <f t="shared" si="4"/>
        <v>421.46712682752604</v>
      </c>
      <c r="L86" s="81">
        <f t="shared" si="5"/>
        <v>578.31873944139909</v>
      </c>
    </row>
    <row r="87" spans="1:12" x14ac:dyDescent="0.3">
      <c r="A87" s="58" t="s">
        <v>66</v>
      </c>
      <c r="B87" s="19" t="s">
        <v>59</v>
      </c>
      <c r="C87" s="22">
        <v>1</v>
      </c>
      <c r="D87" s="22">
        <v>1</v>
      </c>
      <c r="E87" s="22">
        <v>1</v>
      </c>
      <c r="F87" s="22">
        <v>1270</v>
      </c>
      <c r="G87" s="19" t="s">
        <v>21</v>
      </c>
      <c r="H87" s="22">
        <v>14.9</v>
      </c>
      <c r="I87" s="22">
        <v>7.9</v>
      </c>
      <c r="J87" s="65">
        <v>0.47868852459016392</v>
      </c>
      <c r="K87" s="81">
        <f t="shared" si="4"/>
        <v>48.071806769321661</v>
      </c>
      <c r="L87" s="81">
        <f t="shared" si="5"/>
        <v>74.0080629255487</v>
      </c>
    </row>
    <row r="88" spans="1:12" x14ac:dyDescent="0.3">
      <c r="A88" s="58" t="s">
        <v>66</v>
      </c>
      <c r="B88" s="19" t="s">
        <v>59</v>
      </c>
      <c r="C88" s="22">
        <v>1</v>
      </c>
      <c r="D88" s="22">
        <v>1</v>
      </c>
      <c r="E88" s="22">
        <v>1</v>
      </c>
      <c r="F88" s="22">
        <v>1271</v>
      </c>
      <c r="G88" s="19" t="s">
        <v>21</v>
      </c>
      <c r="H88" s="22">
        <v>16.399999999999999</v>
      </c>
      <c r="I88" s="22">
        <v>10</v>
      </c>
      <c r="J88" s="65">
        <v>0.49538461538461537</v>
      </c>
      <c r="K88" s="81">
        <f t="shared" si="4"/>
        <v>75.449115057899988</v>
      </c>
      <c r="L88" s="81">
        <f t="shared" si="5"/>
        <v>101.8636676751098</v>
      </c>
    </row>
    <row r="89" spans="1:12" x14ac:dyDescent="0.3">
      <c r="A89" s="58" t="s">
        <v>66</v>
      </c>
      <c r="B89" s="19" t="s">
        <v>59</v>
      </c>
      <c r="C89" s="22">
        <v>1</v>
      </c>
      <c r="D89" s="22">
        <v>1</v>
      </c>
      <c r="E89" s="22">
        <v>2</v>
      </c>
      <c r="F89" s="22">
        <v>1276</v>
      </c>
      <c r="G89" s="19" t="s">
        <v>21</v>
      </c>
      <c r="H89" s="22">
        <v>15.7</v>
      </c>
      <c r="I89" s="22">
        <v>9.5</v>
      </c>
      <c r="J89" s="65">
        <v>0.4955223880597015</v>
      </c>
      <c r="K89" s="81">
        <f t="shared" si="4"/>
        <v>65.925159127278846</v>
      </c>
      <c r="L89" s="81">
        <f t="shared" si="5"/>
        <v>91.327831776146283</v>
      </c>
    </row>
    <row r="90" spans="1:12" x14ac:dyDescent="0.3">
      <c r="A90" s="58" t="s">
        <v>66</v>
      </c>
      <c r="B90" s="19" t="s">
        <v>59</v>
      </c>
      <c r="C90" s="22">
        <v>1</v>
      </c>
      <c r="D90" s="22">
        <v>1</v>
      </c>
      <c r="E90" s="22">
        <v>1</v>
      </c>
      <c r="F90" s="22">
        <v>3288</v>
      </c>
      <c r="G90" s="19" t="s">
        <v>21</v>
      </c>
      <c r="H90" s="22">
        <v>10.3</v>
      </c>
      <c r="I90" s="22">
        <v>9.1999999999999993</v>
      </c>
      <c r="J90" s="65">
        <v>0.53535353535353536</v>
      </c>
      <c r="K90" s="81">
        <f t="shared" si="4"/>
        <v>30.261018784848254</v>
      </c>
      <c r="L90" s="81">
        <f t="shared" si="5"/>
        <v>40.34280708800059</v>
      </c>
    </row>
    <row r="91" spans="1:12" x14ac:dyDescent="0.3">
      <c r="A91" s="58" t="s">
        <v>66</v>
      </c>
      <c r="B91" s="19" t="s">
        <v>59</v>
      </c>
      <c r="C91" s="22">
        <v>1</v>
      </c>
      <c r="D91" s="22">
        <v>1</v>
      </c>
      <c r="E91" s="22">
        <v>1</v>
      </c>
      <c r="F91" s="22">
        <v>3297</v>
      </c>
      <c r="G91" s="19" t="s">
        <v>21</v>
      </c>
      <c r="H91" s="22">
        <v>13</v>
      </c>
      <c r="I91" s="22">
        <v>10.7</v>
      </c>
      <c r="J91" s="65">
        <v>0.57358490566037734</v>
      </c>
      <c r="K91" s="81">
        <f t="shared" si="4"/>
        <v>59.088426332052592</v>
      </c>
      <c r="L91" s="81">
        <f t="shared" si="5"/>
        <v>74.75950151094051</v>
      </c>
    </row>
    <row r="92" spans="1:12" x14ac:dyDescent="0.3">
      <c r="A92" s="58" t="s">
        <v>66</v>
      </c>
      <c r="B92" s="19" t="s">
        <v>30</v>
      </c>
      <c r="C92" s="22">
        <v>1</v>
      </c>
      <c r="D92" s="22">
        <v>2</v>
      </c>
      <c r="E92" s="22">
        <v>1</v>
      </c>
      <c r="F92" s="22">
        <v>4965</v>
      </c>
      <c r="G92" s="19" t="s">
        <v>21</v>
      </c>
      <c r="H92" s="22">
        <v>19.399999999999999</v>
      </c>
      <c r="I92" s="22">
        <v>14.8</v>
      </c>
      <c r="J92" s="65">
        <v>0.53076923076923077</v>
      </c>
      <c r="K92" s="81">
        <f t="shared" si="4"/>
        <v>164.2432295155501</v>
      </c>
      <c r="L92" s="81">
        <f t="shared" si="5"/>
        <v>178.69805057469441</v>
      </c>
    </row>
    <row r="93" spans="1:12" x14ac:dyDescent="0.3">
      <c r="A93" s="58" t="s">
        <v>48</v>
      </c>
      <c r="B93" s="19" t="s">
        <v>30</v>
      </c>
      <c r="C93" s="22">
        <v>1</v>
      </c>
      <c r="D93" s="22">
        <v>1</v>
      </c>
      <c r="E93" s="22">
        <v>2</v>
      </c>
      <c r="F93" s="22">
        <v>1321</v>
      </c>
      <c r="G93" s="19" t="s">
        <v>21</v>
      </c>
      <c r="H93" s="22">
        <v>14.9</v>
      </c>
      <c r="I93" s="22">
        <v>13.8</v>
      </c>
      <c r="J93" s="65">
        <v>0.34926470588235292</v>
      </c>
      <c r="K93" s="81">
        <f t="shared" si="4"/>
        <v>60.913792127941662</v>
      </c>
      <c r="L93" s="81">
        <f t="shared" si="5"/>
        <v>63.709651595653597</v>
      </c>
    </row>
    <row r="94" spans="1:12" x14ac:dyDescent="0.3">
      <c r="A94" s="58" t="s">
        <v>48</v>
      </c>
      <c r="B94" s="19" t="s">
        <v>30</v>
      </c>
      <c r="C94" s="22">
        <v>1</v>
      </c>
      <c r="D94" s="22">
        <v>3</v>
      </c>
      <c r="E94" s="22">
        <v>1</v>
      </c>
      <c r="F94" s="22">
        <v>1721</v>
      </c>
      <c r="G94" s="19" t="s">
        <v>21</v>
      </c>
      <c r="H94" s="22">
        <v>16.7</v>
      </c>
      <c r="I94" s="22">
        <v>16.2</v>
      </c>
      <c r="J94" s="65">
        <v>0.33214285714285713</v>
      </c>
      <c r="K94" s="81">
        <f t="shared" si="4"/>
        <v>84.733937733562911</v>
      </c>
      <c r="L94" s="81">
        <f t="shared" si="5"/>
        <v>81.073607116089761</v>
      </c>
    </row>
    <row r="95" spans="1:12" x14ac:dyDescent="0.3">
      <c r="A95" s="58" t="s">
        <v>48</v>
      </c>
      <c r="B95" s="19" t="s">
        <v>30</v>
      </c>
      <c r="C95" s="22">
        <v>1</v>
      </c>
      <c r="D95" s="22">
        <v>2</v>
      </c>
      <c r="E95" s="22">
        <v>2</v>
      </c>
      <c r="F95" s="22">
        <v>4976</v>
      </c>
      <c r="G95" s="19" t="s">
        <v>21</v>
      </c>
      <c r="H95" s="22">
        <v>15.9</v>
      </c>
      <c r="I95" s="22">
        <v>10.7</v>
      </c>
      <c r="J95" s="65">
        <v>0.34365325077399383</v>
      </c>
      <c r="K95" s="81">
        <f t="shared" si="4"/>
        <v>53.09753788008603</v>
      </c>
      <c r="L95" s="81">
        <f t="shared" si="5"/>
        <v>65.854559551240499</v>
      </c>
    </row>
    <row r="96" spans="1:12" x14ac:dyDescent="0.3">
      <c r="A96" s="58" t="s">
        <v>48</v>
      </c>
      <c r="B96" s="19" t="s">
        <v>30</v>
      </c>
      <c r="C96" s="22">
        <v>2</v>
      </c>
      <c r="D96" s="22">
        <v>2</v>
      </c>
      <c r="E96" s="22">
        <v>1</v>
      </c>
      <c r="F96" s="22">
        <v>451</v>
      </c>
      <c r="G96" s="19" t="s">
        <v>21</v>
      </c>
      <c r="H96" s="22">
        <v>24.5</v>
      </c>
      <c r="I96" s="22">
        <v>11.9</v>
      </c>
      <c r="J96" s="65">
        <v>0.34666666666666668</v>
      </c>
      <c r="K96" s="81">
        <f t="shared" si="4"/>
        <v>138.15139982167074</v>
      </c>
      <c r="L96" s="81">
        <f t="shared" si="5"/>
        <v>171.61586003723787</v>
      </c>
    </row>
    <row r="97" spans="1:12" x14ac:dyDescent="0.3">
      <c r="A97" s="58" t="s">
        <v>48</v>
      </c>
      <c r="B97" s="19" t="s">
        <v>30</v>
      </c>
      <c r="C97" s="22">
        <v>2</v>
      </c>
      <c r="D97" s="22">
        <v>2</v>
      </c>
      <c r="E97" s="22">
        <v>2</v>
      </c>
      <c r="F97" s="22">
        <v>460</v>
      </c>
      <c r="G97" s="19" t="s">
        <v>21</v>
      </c>
      <c r="H97" s="22">
        <v>24.4</v>
      </c>
      <c r="I97" s="22">
        <v>19</v>
      </c>
      <c r="J97" s="65">
        <v>0.35307517084282458</v>
      </c>
      <c r="K97" s="81">
        <f t="shared" si="4"/>
        <v>220.28345801352725</v>
      </c>
      <c r="L97" s="81">
        <f t="shared" si="5"/>
        <v>203.45455136172177</v>
      </c>
    </row>
    <row r="98" spans="1:12" x14ac:dyDescent="0.3">
      <c r="A98" s="58" t="s">
        <v>48</v>
      </c>
      <c r="B98" s="19" t="s">
        <v>30</v>
      </c>
      <c r="C98" s="22">
        <v>2</v>
      </c>
      <c r="D98" s="22">
        <v>2</v>
      </c>
      <c r="E98" s="22">
        <v>2</v>
      </c>
      <c r="F98" s="22">
        <v>475</v>
      </c>
      <c r="G98" s="19" t="s">
        <v>21</v>
      </c>
      <c r="H98" s="22">
        <v>14.4</v>
      </c>
      <c r="I98" s="22">
        <v>11.9</v>
      </c>
      <c r="J98" s="65">
        <v>0.34420289855072461</v>
      </c>
      <c r="K98" s="81">
        <f t="shared" ref="K98:K129" si="6">((0.0673)*((J98*H98^2*I98)^0.976))</f>
        <v>48.618712938934173</v>
      </c>
      <c r="L98" s="81">
        <f t="shared" ref="L98:L129" si="7">EXP(-1.305+1.055*LN(H98^2)+0.34*LN(I98)+1.077*LN(J98))</f>
        <v>55.491410988053303</v>
      </c>
    </row>
    <row r="99" spans="1:12" x14ac:dyDescent="0.3">
      <c r="A99" s="58" t="s">
        <v>75</v>
      </c>
      <c r="B99" s="19" t="s">
        <v>26</v>
      </c>
      <c r="C99" s="22">
        <v>1</v>
      </c>
      <c r="D99" s="22">
        <v>3</v>
      </c>
      <c r="E99" s="22">
        <v>2</v>
      </c>
      <c r="F99" s="22">
        <v>1218</v>
      </c>
      <c r="G99" s="19" t="s">
        <v>21</v>
      </c>
      <c r="H99" s="29">
        <f>SQRT(12.8^2 + 15.4^2 + 11.7^2 + 12.2^2 + 14^2 + 14.3^2)</f>
        <v>32.973019273339226</v>
      </c>
      <c r="I99" s="22">
        <v>10.6</v>
      </c>
      <c r="J99" s="65">
        <v>0.77419354838709675</v>
      </c>
      <c r="K99" s="81">
        <f t="shared" si="6"/>
        <v>482.69918099264936</v>
      </c>
      <c r="L99" s="81">
        <f t="shared" si="7"/>
        <v>733.59362743466488</v>
      </c>
    </row>
    <row r="100" spans="1:12" x14ac:dyDescent="0.3">
      <c r="A100" s="58" t="s">
        <v>75</v>
      </c>
      <c r="B100" s="19" t="s">
        <v>26</v>
      </c>
      <c r="C100" s="22">
        <v>1</v>
      </c>
      <c r="D100" s="22">
        <v>2</v>
      </c>
      <c r="E100" s="22">
        <v>2</v>
      </c>
      <c r="F100" s="22">
        <v>1357</v>
      </c>
      <c r="G100" s="19" t="s">
        <v>21</v>
      </c>
      <c r="H100" s="29">
        <f>SQRT(17^2+22.3^2)</f>
        <v>28.040863039500049</v>
      </c>
      <c r="I100" s="22">
        <v>10.6</v>
      </c>
      <c r="J100" s="65">
        <v>0.70508474576271185</v>
      </c>
      <c r="K100" s="81">
        <f t="shared" si="6"/>
        <v>321.13369942874283</v>
      </c>
      <c r="L100" s="81">
        <f t="shared" si="7"/>
        <v>471.24352896407055</v>
      </c>
    </row>
    <row r="101" spans="1:12" x14ac:dyDescent="0.3">
      <c r="A101" s="58" t="s">
        <v>75</v>
      </c>
      <c r="B101" s="19" t="s">
        <v>20</v>
      </c>
      <c r="C101" s="22">
        <v>1</v>
      </c>
      <c r="D101" s="22">
        <v>2</v>
      </c>
      <c r="E101" s="22">
        <v>1</v>
      </c>
      <c r="F101" s="22">
        <v>7445</v>
      </c>
      <c r="G101" s="19" t="s">
        <v>21</v>
      </c>
      <c r="H101" s="22">
        <v>10.8</v>
      </c>
      <c r="I101" s="22">
        <v>11.9</v>
      </c>
      <c r="J101" s="65">
        <v>0.79661016949152541</v>
      </c>
      <c r="K101" s="81">
        <f t="shared" si="6"/>
        <v>62.893826058894199</v>
      </c>
      <c r="L101" s="81">
        <f t="shared" si="7"/>
        <v>74.661647430156137</v>
      </c>
    </row>
    <row r="102" spans="1:12" x14ac:dyDescent="0.3">
      <c r="A102" s="58" t="s">
        <v>75</v>
      </c>
      <c r="B102" s="19" t="s">
        <v>30</v>
      </c>
      <c r="C102" s="22">
        <v>2</v>
      </c>
      <c r="D102" s="22">
        <v>1</v>
      </c>
      <c r="E102" s="22">
        <v>1</v>
      </c>
      <c r="F102" s="12">
        <v>76</v>
      </c>
      <c r="G102" s="19" t="s">
        <v>21</v>
      </c>
      <c r="H102" s="22">
        <v>21.3</v>
      </c>
      <c r="I102" s="22">
        <v>17.899999999999999</v>
      </c>
      <c r="J102" s="65">
        <v>0.75510204081632648</v>
      </c>
      <c r="K102" s="81">
        <f t="shared" si="6"/>
        <v>334.75734669186596</v>
      </c>
      <c r="L102" s="81">
        <f t="shared" si="7"/>
        <v>339.39760515110208</v>
      </c>
    </row>
    <row r="103" spans="1:12" x14ac:dyDescent="0.3">
      <c r="A103" s="58" t="s">
        <v>75</v>
      </c>
      <c r="B103" s="19" t="s">
        <v>26</v>
      </c>
      <c r="C103" s="22">
        <v>2</v>
      </c>
      <c r="D103" s="22">
        <v>1</v>
      </c>
      <c r="E103" s="22">
        <v>2</v>
      </c>
      <c r="F103" s="22">
        <v>196</v>
      </c>
      <c r="G103" s="19" t="s">
        <v>21</v>
      </c>
      <c r="H103" s="22">
        <v>11.9</v>
      </c>
      <c r="I103" s="22">
        <v>13.4</v>
      </c>
      <c r="J103" s="65">
        <v>0.75838926174496646</v>
      </c>
      <c r="K103" s="81">
        <f t="shared" si="6"/>
        <v>81.341425469080789</v>
      </c>
      <c r="L103" s="81">
        <f t="shared" si="7"/>
        <v>90.470979779618958</v>
      </c>
    </row>
    <row r="104" spans="1:12" x14ac:dyDescent="0.3">
      <c r="A104" s="58" t="s">
        <v>58</v>
      </c>
      <c r="B104" s="19" t="s">
        <v>59</v>
      </c>
      <c r="C104" s="22">
        <v>2</v>
      </c>
      <c r="D104" s="22">
        <v>3</v>
      </c>
      <c r="E104" s="22">
        <v>1</v>
      </c>
      <c r="F104" s="22">
        <v>744</v>
      </c>
      <c r="G104" s="19" t="s">
        <v>60</v>
      </c>
      <c r="H104" s="22">
        <v>10.8</v>
      </c>
      <c r="I104" s="22">
        <v>6.5</v>
      </c>
      <c r="J104" s="65">
        <v>0.59210526315789469</v>
      </c>
      <c r="K104" s="81">
        <f t="shared" si="6"/>
        <v>26.092940166729182</v>
      </c>
      <c r="L104" s="81">
        <f t="shared" si="7"/>
        <v>44.160502331098371</v>
      </c>
    </row>
    <row r="105" spans="1:12" x14ac:dyDescent="0.3">
      <c r="A105" s="58" t="s">
        <v>58</v>
      </c>
      <c r="B105" s="19" t="s">
        <v>59</v>
      </c>
      <c r="C105" s="22">
        <v>2</v>
      </c>
      <c r="D105" s="22">
        <v>3</v>
      </c>
      <c r="E105" s="22">
        <v>2</v>
      </c>
      <c r="F105" s="22">
        <v>751</v>
      </c>
      <c r="G105" s="19" t="s">
        <v>60</v>
      </c>
      <c r="H105" s="29">
        <f>SQRT(19.2^2+19.6^2)</f>
        <v>27.437201023428027</v>
      </c>
      <c r="I105" s="22">
        <v>9.1</v>
      </c>
      <c r="J105" s="65">
        <v>0.59826589595375723</v>
      </c>
      <c r="K105" s="81">
        <f t="shared" si="6"/>
        <v>225.90588651477634</v>
      </c>
      <c r="L105" s="81">
        <f t="shared" si="7"/>
        <v>358.04026274085197</v>
      </c>
    </row>
    <row r="106" spans="1:12" x14ac:dyDescent="0.3">
      <c r="A106" s="58" t="s">
        <v>58</v>
      </c>
      <c r="B106" s="19" t="s">
        <v>59</v>
      </c>
      <c r="C106" s="22">
        <v>2</v>
      </c>
      <c r="D106" s="22">
        <v>3</v>
      </c>
      <c r="E106" s="22">
        <v>2</v>
      </c>
      <c r="F106" s="22">
        <v>755</v>
      </c>
      <c r="G106" s="19" t="s">
        <v>60</v>
      </c>
      <c r="H106" s="22">
        <v>24.3</v>
      </c>
      <c r="I106" s="22">
        <v>10.1</v>
      </c>
      <c r="J106" s="65">
        <v>0.57894736842105265</v>
      </c>
      <c r="K106" s="81">
        <f t="shared" si="6"/>
        <v>191.10494163438921</v>
      </c>
      <c r="L106" s="81">
        <f t="shared" si="7"/>
        <v>277.14464986903852</v>
      </c>
    </row>
    <row r="107" spans="1:12" x14ac:dyDescent="0.3">
      <c r="A107" s="58" t="s">
        <v>58</v>
      </c>
      <c r="B107" s="19" t="s">
        <v>59</v>
      </c>
      <c r="C107" s="22">
        <v>2</v>
      </c>
      <c r="D107" s="22">
        <v>3</v>
      </c>
      <c r="E107" s="22">
        <v>2</v>
      </c>
      <c r="F107" s="22">
        <v>761</v>
      </c>
      <c r="G107" s="19" t="s">
        <v>60</v>
      </c>
      <c r="H107" s="22">
        <v>16.2</v>
      </c>
      <c r="I107" s="22">
        <v>7.2</v>
      </c>
      <c r="J107" s="65">
        <v>0.56907894736842102</v>
      </c>
      <c r="K107" s="81">
        <f t="shared" si="6"/>
        <v>61.205897152228495</v>
      </c>
      <c r="L107" s="81">
        <f t="shared" si="7"/>
        <v>103.07093936171739</v>
      </c>
    </row>
    <row r="108" spans="1:12" x14ac:dyDescent="0.3">
      <c r="A108" s="58" t="s">
        <v>58</v>
      </c>
      <c r="B108" s="19" t="s">
        <v>59</v>
      </c>
      <c r="C108" s="22">
        <v>2</v>
      </c>
      <c r="D108" s="22">
        <v>3</v>
      </c>
      <c r="E108" s="22">
        <v>2</v>
      </c>
      <c r="F108" s="22">
        <v>766</v>
      </c>
      <c r="G108" s="19" t="s">
        <v>60</v>
      </c>
      <c r="H108" s="29">
        <f>SQRT(6.7^2+13^2)</f>
        <v>14.624978632463023</v>
      </c>
      <c r="I108" s="22">
        <v>7.9</v>
      </c>
      <c r="J108" s="65">
        <v>0.6045454545454545</v>
      </c>
      <c r="K108" s="81">
        <f t="shared" si="6"/>
        <v>58.215640413163335</v>
      </c>
      <c r="L108" s="81">
        <f t="shared" si="7"/>
        <v>91.493208785298734</v>
      </c>
    </row>
    <row r="109" spans="1:12" x14ac:dyDescent="0.3">
      <c r="A109" s="58" t="s">
        <v>55</v>
      </c>
      <c r="B109" s="19" t="s">
        <v>24</v>
      </c>
      <c r="C109" s="22">
        <v>2</v>
      </c>
      <c r="D109" s="22">
        <v>1</v>
      </c>
      <c r="E109" s="22">
        <v>1</v>
      </c>
      <c r="F109" s="22">
        <v>119</v>
      </c>
      <c r="G109" s="19" t="s">
        <v>21</v>
      </c>
      <c r="H109" s="22">
        <v>12.3</v>
      </c>
      <c r="I109" s="22">
        <v>10.199999999999999</v>
      </c>
      <c r="J109" s="65">
        <v>0.72023809523809523</v>
      </c>
      <c r="K109" s="81">
        <f t="shared" si="6"/>
        <v>63.212107769748243</v>
      </c>
      <c r="L109" s="81">
        <f t="shared" si="7"/>
        <v>83.631770709542266</v>
      </c>
    </row>
    <row r="110" spans="1:12" x14ac:dyDescent="0.3">
      <c r="A110" s="58" t="s">
        <v>55</v>
      </c>
      <c r="B110" s="19" t="s">
        <v>24</v>
      </c>
      <c r="C110" s="22">
        <v>2</v>
      </c>
      <c r="D110" s="22">
        <v>1</v>
      </c>
      <c r="E110" s="22">
        <v>1</v>
      </c>
      <c r="F110" s="22">
        <v>131</v>
      </c>
      <c r="G110" s="19" t="s">
        <v>21</v>
      </c>
      <c r="H110" s="22">
        <v>14.5</v>
      </c>
      <c r="I110" s="22">
        <v>11.2</v>
      </c>
      <c r="J110" s="65">
        <v>0.73195876288659789</v>
      </c>
      <c r="K110" s="81">
        <f t="shared" si="6"/>
        <v>97.002098660440055</v>
      </c>
      <c r="L110" s="81">
        <f t="shared" si="7"/>
        <v>124.31352956330909</v>
      </c>
    </row>
    <row r="111" spans="1:12" x14ac:dyDescent="0.3">
      <c r="A111" s="58" t="s">
        <v>55</v>
      </c>
      <c r="B111" s="19" t="s">
        <v>26</v>
      </c>
      <c r="C111" s="22">
        <v>2</v>
      </c>
      <c r="D111" s="22">
        <v>1</v>
      </c>
      <c r="E111" s="22">
        <v>1</v>
      </c>
      <c r="F111" s="22">
        <v>183</v>
      </c>
      <c r="G111" s="19" t="s">
        <v>21</v>
      </c>
      <c r="H111" s="22">
        <v>12.9</v>
      </c>
      <c r="I111" s="22">
        <v>17</v>
      </c>
      <c r="J111" s="65">
        <v>0.6785714285714286</v>
      </c>
      <c r="K111" s="81">
        <f t="shared" si="6"/>
        <v>107.75603481641892</v>
      </c>
      <c r="L111" s="81">
        <f t="shared" si="7"/>
        <v>103.17418609997182</v>
      </c>
    </row>
    <row r="112" spans="1:12" x14ac:dyDescent="0.3">
      <c r="A112" s="58" t="s">
        <v>55</v>
      </c>
      <c r="B112" s="19" t="s">
        <v>26</v>
      </c>
      <c r="C112" s="22">
        <v>1</v>
      </c>
      <c r="D112" s="22">
        <v>3</v>
      </c>
      <c r="E112" s="22">
        <v>2</v>
      </c>
      <c r="F112" s="22">
        <v>1219</v>
      </c>
      <c r="G112" s="19" t="s">
        <v>21</v>
      </c>
      <c r="H112" s="22">
        <v>17</v>
      </c>
      <c r="I112" s="22">
        <v>15.3</v>
      </c>
      <c r="J112" s="65">
        <v>0.70670391061452509</v>
      </c>
      <c r="K112" s="81">
        <f t="shared" si="6"/>
        <v>173.36682268688386</v>
      </c>
      <c r="L112" s="81">
        <f t="shared" si="7"/>
        <v>186.17304126747507</v>
      </c>
    </row>
    <row r="113" spans="1:12" x14ac:dyDescent="0.3">
      <c r="A113" s="58" t="s">
        <v>55</v>
      </c>
      <c r="B113" s="19" t="s">
        <v>24</v>
      </c>
      <c r="C113" s="22">
        <v>1</v>
      </c>
      <c r="D113" s="22">
        <v>2</v>
      </c>
      <c r="E113" s="22">
        <v>2</v>
      </c>
      <c r="F113" s="22">
        <v>3583</v>
      </c>
      <c r="G113" s="19" t="s">
        <v>21</v>
      </c>
      <c r="H113" s="22">
        <v>23.5</v>
      </c>
      <c r="I113" s="22">
        <v>16.600000000000001</v>
      </c>
      <c r="J113" s="65">
        <v>0.68503937007874016</v>
      </c>
      <c r="K113" s="81">
        <f t="shared" si="6"/>
        <v>342.62842052046557</v>
      </c>
      <c r="L113" s="81">
        <f t="shared" si="7"/>
        <v>366.52302989704026</v>
      </c>
    </row>
    <row r="114" spans="1:12" x14ac:dyDescent="0.3">
      <c r="A114" s="58" t="s">
        <v>55</v>
      </c>
      <c r="B114" s="19" t="s">
        <v>24</v>
      </c>
      <c r="C114" s="22">
        <v>1</v>
      </c>
      <c r="D114" s="22">
        <v>2</v>
      </c>
      <c r="E114" s="22">
        <v>2</v>
      </c>
      <c r="F114" s="22">
        <v>3584</v>
      </c>
      <c r="G114" s="19" t="s">
        <v>21</v>
      </c>
      <c r="H114" s="22">
        <v>20.2</v>
      </c>
      <c r="I114" s="22">
        <v>16.2</v>
      </c>
      <c r="J114" s="65">
        <v>0.69020501138952162</v>
      </c>
      <c r="K114" s="81">
        <f t="shared" si="6"/>
        <v>250.83620713645789</v>
      </c>
      <c r="L114" s="81">
        <f t="shared" si="7"/>
        <v>266.28801370515157</v>
      </c>
    </row>
    <row r="115" spans="1:12" x14ac:dyDescent="0.3">
      <c r="A115" s="58" t="s">
        <v>76</v>
      </c>
      <c r="B115" s="19" t="s">
        <v>38</v>
      </c>
      <c r="C115" s="22">
        <v>2</v>
      </c>
      <c r="D115" s="22">
        <v>1</v>
      </c>
      <c r="E115" s="22">
        <v>1</v>
      </c>
      <c r="F115" s="22">
        <v>242</v>
      </c>
      <c r="G115" s="19" t="s">
        <v>21</v>
      </c>
      <c r="H115" s="22">
        <v>11</v>
      </c>
      <c r="I115" s="22">
        <v>9</v>
      </c>
      <c r="J115" s="65">
        <v>0.67080745341614911</v>
      </c>
      <c r="K115" s="81">
        <f t="shared" si="6"/>
        <v>41.967568234387777</v>
      </c>
      <c r="L115" s="81">
        <f t="shared" si="7"/>
        <v>58.650623882365572</v>
      </c>
    </row>
    <row r="116" spans="1:12" x14ac:dyDescent="0.3">
      <c r="A116" s="58" t="s">
        <v>76</v>
      </c>
      <c r="B116" s="19" t="s">
        <v>38</v>
      </c>
      <c r="C116" s="22">
        <v>2</v>
      </c>
      <c r="D116" s="22">
        <v>1</v>
      </c>
      <c r="E116" s="22">
        <v>2</v>
      </c>
      <c r="F116" s="22">
        <v>254</v>
      </c>
      <c r="G116" s="19" t="s">
        <v>21</v>
      </c>
      <c r="H116" s="22">
        <v>11.5</v>
      </c>
      <c r="I116" s="22">
        <v>13.4</v>
      </c>
      <c r="J116" s="65">
        <v>0.73529411764705888</v>
      </c>
      <c r="K116" s="81">
        <f t="shared" si="6"/>
        <v>73.827397145167581</v>
      </c>
      <c r="L116" s="81">
        <f t="shared" si="7"/>
        <v>81.416489268982119</v>
      </c>
    </row>
    <row r="117" spans="1:12" x14ac:dyDescent="0.3">
      <c r="A117" s="58" t="s">
        <v>76</v>
      </c>
      <c r="B117" s="19" t="s">
        <v>24</v>
      </c>
      <c r="C117" s="22">
        <v>2</v>
      </c>
      <c r="D117" s="22">
        <v>3</v>
      </c>
      <c r="E117" s="22">
        <v>1</v>
      </c>
      <c r="F117" s="22">
        <v>677</v>
      </c>
      <c r="G117" s="19" t="s">
        <v>21</v>
      </c>
      <c r="H117" s="22">
        <v>10.5</v>
      </c>
      <c r="I117" s="22">
        <v>4.9000000000000004</v>
      </c>
      <c r="J117" s="65">
        <v>0.77319587628865982</v>
      </c>
      <c r="K117" s="81">
        <f t="shared" si="6"/>
        <v>24.320837754272034</v>
      </c>
      <c r="L117" s="81">
        <f t="shared" si="7"/>
        <v>50.385968663590184</v>
      </c>
    </row>
    <row r="118" spans="1:12" x14ac:dyDescent="0.3">
      <c r="A118" s="58" t="s">
        <v>19</v>
      </c>
      <c r="B118" s="19" t="s">
        <v>20</v>
      </c>
      <c r="C118" s="22">
        <v>1</v>
      </c>
      <c r="D118" s="22">
        <v>3</v>
      </c>
      <c r="E118" s="22">
        <v>2</v>
      </c>
      <c r="F118" s="22">
        <v>3244</v>
      </c>
      <c r="G118" s="19" t="s">
        <v>21</v>
      </c>
      <c r="H118" s="22">
        <v>13.4</v>
      </c>
      <c r="I118" s="22">
        <v>15.7</v>
      </c>
      <c r="J118" s="53">
        <v>0.55428571428571427</v>
      </c>
      <c r="K118" s="81">
        <f t="shared" si="6"/>
        <v>88.146641243302142</v>
      </c>
      <c r="L118" s="81">
        <f t="shared" si="7"/>
        <v>87.507219962090758</v>
      </c>
    </row>
    <row r="119" spans="1:12" x14ac:dyDescent="0.3">
      <c r="A119" s="58" t="s">
        <v>19</v>
      </c>
      <c r="B119" s="19" t="s">
        <v>20</v>
      </c>
      <c r="C119" s="22">
        <v>1</v>
      </c>
      <c r="D119" s="22">
        <v>3</v>
      </c>
      <c r="E119" s="22">
        <v>2</v>
      </c>
      <c r="F119" s="22">
        <v>3249</v>
      </c>
      <c r="G119" s="19" t="s">
        <v>21</v>
      </c>
      <c r="H119" s="22">
        <v>30.8</v>
      </c>
      <c r="I119" s="22">
        <v>22.5</v>
      </c>
      <c r="J119" s="53">
        <v>0.56082474226804124</v>
      </c>
      <c r="K119" s="81">
        <f t="shared" si="6"/>
        <v>643.06002634382173</v>
      </c>
      <c r="L119" s="81">
        <f t="shared" si="7"/>
        <v>579.85128810732328</v>
      </c>
    </row>
    <row r="120" spans="1:12" x14ac:dyDescent="0.3">
      <c r="A120" s="58" t="s">
        <v>19</v>
      </c>
      <c r="B120" s="19" t="s">
        <v>24</v>
      </c>
      <c r="C120" s="22">
        <v>1</v>
      </c>
      <c r="D120" s="22">
        <v>2</v>
      </c>
      <c r="E120" s="22">
        <v>2</v>
      </c>
      <c r="F120" s="22">
        <v>3593</v>
      </c>
      <c r="G120" s="19" t="s">
        <v>21</v>
      </c>
      <c r="H120" s="22">
        <v>38.799999999999997</v>
      </c>
      <c r="I120" s="22">
        <v>17.899999999999999</v>
      </c>
      <c r="J120" s="65">
        <v>0.55384615384615388</v>
      </c>
      <c r="K120" s="81">
        <f t="shared" si="6"/>
        <v>797.5298658840743</v>
      </c>
      <c r="L120" s="81">
        <f t="shared" si="7"/>
        <v>861.55058344708834</v>
      </c>
    </row>
    <row r="121" spans="1:12" x14ac:dyDescent="0.3">
      <c r="A121" s="58" t="s">
        <v>19</v>
      </c>
      <c r="B121" s="19" t="s">
        <v>26</v>
      </c>
      <c r="C121" s="22">
        <v>2</v>
      </c>
      <c r="D121" s="22">
        <v>1</v>
      </c>
      <c r="E121" s="22">
        <v>2</v>
      </c>
      <c r="F121" s="22">
        <v>201</v>
      </c>
      <c r="G121" s="19" t="s">
        <v>21</v>
      </c>
      <c r="H121" s="22">
        <v>26.6</v>
      </c>
      <c r="I121" s="22">
        <v>17.2</v>
      </c>
      <c r="J121" s="66">
        <v>0.49723756906077349</v>
      </c>
      <c r="K121" s="81">
        <f t="shared" si="6"/>
        <v>330.45032493303836</v>
      </c>
      <c r="L121" s="81">
        <f t="shared" si="7"/>
        <v>341.21254017164205</v>
      </c>
    </row>
    <row r="122" spans="1:12" x14ac:dyDescent="0.3">
      <c r="A122" s="58" t="s">
        <v>19</v>
      </c>
      <c r="B122" s="19" t="s">
        <v>24</v>
      </c>
      <c r="C122" s="22">
        <v>2</v>
      </c>
      <c r="D122" s="22">
        <v>2</v>
      </c>
      <c r="E122" s="22">
        <v>1</v>
      </c>
      <c r="F122" s="22">
        <v>533</v>
      </c>
      <c r="G122" s="19" t="s">
        <v>21</v>
      </c>
      <c r="H122" s="22">
        <v>19.2</v>
      </c>
      <c r="I122" s="22">
        <v>9.9</v>
      </c>
      <c r="J122" s="65">
        <v>0.49627791563275436</v>
      </c>
      <c r="K122" s="81">
        <f t="shared" si="6"/>
        <v>101.80909180625423</v>
      </c>
      <c r="L122" s="81">
        <f t="shared" si="7"/>
        <v>141.84793914579387</v>
      </c>
    </row>
    <row r="123" spans="1:12" x14ac:dyDescent="0.3">
      <c r="A123" s="58" t="s">
        <v>19</v>
      </c>
      <c r="B123" s="19" t="s">
        <v>20</v>
      </c>
      <c r="C123" s="22">
        <v>2</v>
      </c>
      <c r="D123" s="22">
        <v>3</v>
      </c>
      <c r="E123" s="22">
        <v>2</v>
      </c>
      <c r="F123" s="22">
        <v>725</v>
      </c>
      <c r="G123" s="19" t="s">
        <v>21</v>
      </c>
      <c r="H123" s="22">
        <v>14.3</v>
      </c>
      <c r="I123" s="22">
        <v>11.5</v>
      </c>
      <c r="J123" s="53">
        <v>0.50819672131147542</v>
      </c>
      <c r="K123" s="81">
        <f t="shared" si="6"/>
        <v>67.851459794566196</v>
      </c>
      <c r="L123" s="81">
        <f t="shared" si="7"/>
        <v>82.231519968953521</v>
      </c>
    </row>
    <row r="124" spans="1:12" x14ac:dyDescent="0.3">
      <c r="A124" s="58" t="s">
        <v>81</v>
      </c>
      <c r="B124" s="17" t="s">
        <v>30</v>
      </c>
      <c r="C124" s="16">
        <v>1</v>
      </c>
      <c r="D124" s="16">
        <v>3</v>
      </c>
      <c r="E124" s="16">
        <v>1</v>
      </c>
      <c r="F124" s="16">
        <v>1727</v>
      </c>
      <c r="G124" s="7" t="s">
        <v>21</v>
      </c>
      <c r="H124" s="16">
        <v>35.700000000000003</v>
      </c>
      <c r="I124" s="21">
        <v>18.5</v>
      </c>
      <c r="J124" s="52">
        <v>0.655456186</v>
      </c>
      <c r="K124" s="81">
        <f t="shared" si="6"/>
        <v>825.14381284789249</v>
      </c>
      <c r="L124" s="81">
        <f t="shared" si="7"/>
        <v>876.25710753253338</v>
      </c>
    </row>
    <row r="125" spans="1:12" x14ac:dyDescent="0.3">
      <c r="A125" s="58" t="s">
        <v>81</v>
      </c>
      <c r="B125" s="17" t="s">
        <v>26</v>
      </c>
      <c r="C125" s="16">
        <v>1</v>
      </c>
      <c r="D125" s="16">
        <v>1</v>
      </c>
      <c r="E125" s="16">
        <v>2</v>
      </c>
      <c r="F125" s="16">
        <v>1643</v>
      </c>
      <c r="G125" s="7" t="s">
        <v>21</v>
      </c>
      <c r="H125" s="16">
        <v>11.8</v>
      </c>
      <c r="I125" s="21">
        <v>13</v>
      </c>
      <c r="J125" s="52">
        <v>0.74557338574999998</v>
      </c>
      <c r="K125" s="81">
        <f t="shared" si="6"/>
        <v>76.399071711818493</v>
      </c>
      <c r="L125" s="81">
        <f t="shared" si="7"/>
        <v>86.36338055908017</v>
      </c>
    </row>
    <row r="126" spans="1:12" x14ac:dyDescent="0.3">
      <c r="A126" s="58" t="s">
        <v>81</v>
      </c>
      <c r="B126" s="7" t="s">
        <v>59</v>
      </c>
      <c r="C126" s="16">
        <v>2</v>
      </c>
      <c r="D126" s="16">
        <v>1</v>
      </c>
      <c r="E126" s="16"/>
      <c r="F126" s="16">
        <v>248</v>
      </c>
      <c r="G126" s="7" t="s">
        <v>21</v>
      </c>
      <c r="H126" s="21">
        <v>11.8</v>
      </c>
      <c r="I126" s="21">
        <v>10.199999999999999</v>
      </c>
      <c r="J126" s="52">
        <v>0.55602062475000003</v>
      </c>
      <c r="K126" s="81">
        <f t="shared" si="6"/>
        <v>45.28258696725802</v>
      </c>
      <c r="L126" s="81">
        <f t="shared" si="7"/>
        <v>57.983402406397218</v>
      </c>
    </row>
    <row r="127" spans="1:12" x14ac:dyDescent="0.3">
      <c r="A127" s="58" t="s">
        <v>81</v>
      </c>
      <c r="B127" s="7" t="s">
        <v>26</v>
      </c>
      <c r="C127" s="16">
        <v>2</v>
      </c>
      <c r="D127" s="16">
        <v>2</v>
      </c>
      <c r="E127" s="16">
        <v>2</v>
      </c>
      <c r="F127" s="16">
        <v>505</v>
      </c>
      <c r="G127" s="7" t="s">
        <v>21</v>
      </c>
      <c r="H127" s="21">
        <v>13.5</v>
      </c>
      <c r="I127" s="21">
        <v>10</v>
      </c>
      <c r="J127" s="52">
        <v>0.62179669599999998</v>
      </c>
      <c r="K127" s="81">
        <f t="shared" si="6"/>
        <v>64.42099502723562</v>
      </c>
      <c r="L127" s="81">
        <f t="shared" si="7"/>
        <v>86.299700843789253</v>
      </c>
    </row>
    <row r="128" spans="1:12" x14ac:dyDescent="0.3">
      <c r="A128" s="58" t="s">
        <v>81</v>
      </c>
      <c r="B128" s="7" t="s">
        <v>30</v>
      </c>
      <c r="C128" s="16">
        <v>2</v>
      </c>
      <c r="D128" s="16">
        <v>3</v>
      </c>
      <c r="E128" s="16">
        <v>2</v>
      </c>
      <c r="F128" s="16">
        <v>599</v>
      </c>
      <c r="G128" s="7" t="s">
        <v>21</v>
      </c>
      <c r="H128" s="30">
        <f>SQRT(17.8^2+14^2)</f>
        <v>22.645970944077447</v>
      </c>
      <c r="I128" s="21">
        <v>13.7</v>
      </c>
      <c r="J128" s="52">
        <v>0.63040140150000001</v>
      </c>
      <c r="K128" s="81">
        <f t="shared" si="6"/>
        <v>243.68175949303929</v>
      </c>
      <c r="L128" s="81">
        <f t="shared" si="7"/>
        <v>290.36835324500231</v>
      </c>
    </row>
    <row r="129" spans="1:12" x14ac:dyDescent="0.3">
      <c r="A129" s="58" t="s">
        <v>88</v>
      </c>
      <c r="B129" s="7" t="s">
        <v>30</v>
      </c>
      <c r="C129" s="16">
        <v>1</v>
      </c>
      <c r="D129" s="16">
        <v>2</v>
      </c>
      <c r="E129" s="16">
        <v>2</v>
      </c>
      <c r="F129" s="16">
        <v>4972</v>
      </c>
      <c r="G129" s="7" t="s">
        <v>21</v>
      </c>
      <c r="H129" s="31">
        <f>SQRT(14.9^2+7.4^2)</f>
        <v>16.636405861844079</v>
      </c>
      <c r="I129" s="20">
        <v>9.6999999999999993</v>
      </c>
      <c r="J129" s="52">
        <v>0.92542914850000002</v>
      </c>
      <c r="K129" s="81">
        <f t="shared" si="6"/>
        <v>138.60004541137113</v>
      </c>
      <c r="L129" s="81">
        <f t="shared" si="7"/>
        <v>203.67383890198499</v>
      </c>
    </row>
    <row r="130" spans="1:12" x14ac:dyDescent="0.3">
      <c r="A130" s="58" t="s">
        <v>88</v>
      </c>
      <c r="B130" s="7" t="s">
        <v>30</v>
      </c>
      <c r="C130" s="16">
        <v>2</v>
      </c>
      <c r="D130" s="16">
        <v>1</v>
      </c>
      <c r="E130" s="16"/>
      <c r="F130" s="16">
        <v>424</v>
      </c>
      <c r="G130" s="7" t="s">
        <v>21</v>
      </c>
      <c r="H130" s="21">
        <v>17.600000000000001</v>
      </c>
      <c r="I130" s="21">
        <v>12.7</v>
      </c>
      <c r="J130" s="52">
        <v>0.90652633824999995</v>
      </c>
      <c r="K130" s="81">
        <f t="shared" ref="K130:K161" si="8">((0.0673)*((J130*H130^2*I130)^0.976))</f>
        <v>197.22933928072297</v>
      </c>
      <c r="L130" s="81">
        <f t="shared" ref="L130:L161" si="9">EXP(-1.305+1.055*LN(H130^2)+0.34*LN(I130)+1.077*LN(J130))</f>
        <v>245.84954835968313</v>
      </c>
    </row>
    <row r="131" spans="1:12" x14ac:dyDescent="0.3">
      <c r="A131" s="58" t="s">
        <v>88</v>
      </c>
      <c r="B131" s="7" t="s">
        <v>30</v>
      </c>
      <c r="C131" s="16">
        <v>2</v>
      </c>
      <c r="D131" s="16">
        <v>1</v>
      </c>
      <c r="E131" s="16">
        <v>1</v>
      </c>
      <c r="F131" s="16">
        <v>79</v>
      </c>
      <c r="G131" s="7" t="s">
        <v>21</v>
      </c>
      <c r="H131" s="30">
        <f>SQRT(15.1^2+16.6^2+15.4^2)</f>
        <v>27.21635537686852</v>
      </c>
      <c r="I131" s="21">
        <v>12.7</v>
      </c>
      <c r="J131" s="52">
        <v>0.89703169549999995</v>
      </c>
      <c r="K131" s="81">
        <f t="shared" si="8"/>
        <v>457.14712548225572</v>
      </c>
      <c r="L131" s="81">
        <f t="shared" si="9"/>
        <v>609.82354056752195</v>
      </c>
    </row>
    <row r="132" spans="1:12" x14ac:dyDescent="0.3">
      <c r="A132" s="58" t="s">
        <v>88</v>
      </c>
      <c r="B132" s="7" t="s">
        <v>30</v>
      </c>
      <c r="C132" s="16">
        <v>2</v>
      </c>
      <c r="D132" s="16">
        <v>1</v>
      </c>
      <c r="E132" s="16">
        <v>1</v>
      </c>
      <c r="F132" s="16">
        <v>87</v>
      </c>
      <c r="G132" s="7" t="s">
        <v>21</v>
      </c>
      <c r="H132" s="30">
        <f>SQRT(9.8^2+10.5^2)</f>
        <v>14.362799170078235</v>
      </c>
      <c r="I132" s="21">
        <v>12.2</v>
      </c>
      <c r="J132" s="52">
        <v>0.95122003050000004</v>
      </c>
      <c r="K132" s="81">
        <f t="shared" si="8"/>
        <v>133.67038590779885</v>
      </c>
      <c r="L132" s="81">
        <f t="shared" si="9"/>
        <v>166.33787233482079</v>
      </c>
    </row>
    <row r="133" spans="1:12" x14ac:dyDescent="0.3">
      <c r="A133" s="58" t="s">
        <v>88</v>
      </c>
      <c r="B133" s="7" t="s">
        <v>30</v>
      </c>
      <c r="C133" s="16">
        <v>2</v>
      </c>
      <c r="D133" s="16">
        <v>1</v>
      </c>
      <c r="E133" s="16">
        <v>2</v>
      </c>
      <c r="F133" s="16">
        <v>109</v>
      </c>
      <c r="G133" s="7" t="s">
        <v>21</v>
      </c>
      <c r="H133" s="21">
        <v>11.9</v>
      </c>
      <c r="I133" s="21">
        <v>11.7</v>
      </c>
      <c r="J133" s="52">
        <v>0.97034195349999997</v>
      </c>
      <c r="K133" s="81">
        <f t="shared" si="8"/>
        <v>90.62974277157177</v>
      </c>
      <c r="L133" s="81">
        <f t="shared" si="9"/>
        <v>112.65513744810222</v>
      </c>
    </row>
    <row r="134" spans="1:12" x14ac:dyDescent="0.3">
      <c r="A134" s="58" t="s">
        <v>64</v>
      </c>
      <c r="B134" s="19" t="s">
        <v>20</v>
      </c>
      <c r="C134" s="22">
        <v>2</v>
      </c>
      <c r="D134" s="22">
        <v>1</v>
      </c>
      <c r="E134" s="22">
        <v>2</v>
      </c>
      <c r="F134" s="22">
        <v>67</v>
      </c>
      <c r="G134" s="19" t="s">
        <v>65</v>
      </c>
      <c r="H134" s="22">
        <v>10.5</v>
      </c>
      <c r="I134" s="22">
        <v>4</v>
      </c>
      <c r="J134" s="65">
        <v>0.50270270270270268</v>
      </c>
      <c r="K134" s="81">
        <f t="shared" si="8"/>
        <v>13.105900860411417</v>
      </c>
      <c r="L134" s="81">
        <f t="shared" si="9"/>
        <v>29.577924995251017</v>
      </c>
    </row>
    <row r="135" spans="1:12" x14ac:dyDescent="0.3">
      <c r="A135" s="58" t="s">
        <v>64</v>
      </c>
      <c r="B135" s="19" t="s">
        <v>59</v>
      </c>
      <c r="C135" s="22">
        <v>2</v>
      </c>
      <c r="D135" s="22">
        <v>1</v>
      </c>
      <c r="E135" s="22">
        <v>1</v>
      </c>
      <c r="F135" s="22">
        <v>275</v>
      </c>
      <c r="G135" s="19" t="s">
        <v>65</v>
      </c>
      <c r="H135" s="29">
        <f>SQRT(8.4^2+10.4^2+11.3^2)</f>
        <v>17.504570831642802</v>
      </c>
      <c r="I135" s="22">
        <v>6.8</v>
      </c>
      <c r="J135" s="65">
        <v>0.53237410071942448</v>
      </c>
      <c r="K135" s="81">
        <f t="shared" si="8"/>
        <v>63.090379653480802</v>
      </c>
      <c r="L135" s="81">
        <f t="shared" si="9"/>
        <v>110.78576219853635</v>
      </c>
    </row>
    <row r="136" spans="1:12" x14ac:dyDescent="0.3">
      <c r="A136" s="58" t="s">
        <v>64</v>
      </c>
      <c r="B136" s="19" t="s">
        <v>59</v>
      </c>
      <c r="C136" s="22">
        <v>2</v>
      </c>
      <c r="D136" s="22">
        <v>1</v>
      </c>
      <c r="E136" s="22">
        <v>2</v>
      </c>
      <c r="F136" s="22">
        <v>291</v>
      </c>
      <c r="G136" s="19" t="s">
        <v>65</v>
      </c>
      <c r="H136" s="29">
        <f>SQRT(7.3^2+11.2^2)</f>
        <v>13.36899397860587</v>
      </c>
      <c r="I136" s="22">
        <v>7.5</v>
      </c>
      <c r="J136" s="65">
        <v>0.51583710407239824</v>
      </c>
      <c r="K136" s="81">
        <f t="shared" si="8"/>
        <v>39.776983897408016</v>
      </c>
      <c r="L136" s="81">
        <f t="shared" si="9"/>
        <v>62.691822053851233</v>
      </c>
    </row>
    <row r="137" spans="1:12" x14ac:dyDescent="0.3">
      <c r="A137" s="58" t="s">
        <v>64</v>
      </c>
      <c r="B137" s="19" t="s">
        <v>59</v>
      </c>
      <c r="C137" s="22">
        <v>2</v>
      </c>
      <c r="D137" s="22">
        <v>2</v>
      </c>
      <c r="E137" s="22">
        <v>1</v>
      </c>
      <c r="F137" s="22">
        <v>559</v>
      </c>
      <c r="G137" s="19" t="s">
        <v>65</v>
      </c>
      <c r="H137" s="29">
        <f>SQRT(5.7^2+6.5^2+4.7^2+6.7^2+10.1^2)</f>
        <v>15.611854470241516</v>
      </c>
      <c r="I137" s="22">
        <v>8</v>
      </c>
      <c r="J137" s="65">
        <v>0.52551020408163263</v>
      </c>
      <c r="K137" s="81">
        <f t="shared" si="8"/>
        <v>58.390375744348631</v>
      </c>
      <c r="L137" s="81">
        <f t="shared" si="9"/>
        <v>90.68828346411658</v>
      </c>
    </row>
    <row r="138" spans="1:12" x14ac:dyDescent="0.3">
      <c r="A138" s="58" t="s">
        <v>64</v>
      </c>
      <c r="B138" s="19" t="s">
        <v>59</v>
      </c>
      <c r="C138" s="22">
        <v>2</v>
      </c>
      <c r="D138" s="22">
        <v>2</v>
      </c>
      <c r="E138" s="22">
        <v>1</v>
      </c>
      <c r="F138" s="22">
        <v>563</v>
      </c>
      <c r="G138" s="19" t="s">
        <v>65</v>
      </c>
      <c r="H138" s="29">
        <f>SQRT(8.5^2+6.1^2+6.5^2+6^2+12.1^2)</f>
        <v>18.278949641595929</v>
      </c>
      <c r="I138" s="22">
        <v>6.4</v>
      </c>
      <c r="J138" s="65">
        <v>0.51256281407035176</v>
      </c>
      <c r="K138" s="81">
        <f t="shared" si="8"/>
        <v>62.357500272211475</v>
      </c>
      <c r="L138" s="81">
        <f t="shared" si="9"/>
        <v>114.14624325506537</v>
      </c>
    </row>
    <row r="139" spans="1:12" x14ac:dyDescent="0.3">
      <c r="A139" s="58" t="s">
        <v>64</v>
      </c>
      <c r="B139" s="19" t="s">
        <v>59</v>
      </c>
      <c r="C139" s="22">
        <v>2</v>
      </c>
      <c r="D139" s="22">
        <v>2</v>
      </c>
      <c r="E139" s="22">
        <v>2</v>
      </c>
      <c r="F139" s="22">
        <v>570</v>
      </c>
      <c r="G139" s="19" t="s">
        <v>65</v>
      </c>
      <c r="H139" s="22">
        <v>10.4</v>
      </c>
      <c r="I139" s="22">
        <v>5.5</v>
      </c>
      <c r="J139" s="65">
        <v>0.52606635071090047</v>
      </c>
      <c r="K139" s="81">
        <f t="shared" si="8"/>
        <v>18.348208998966758</v>
      </c>
      <c r="L139" s="81">
        <f t="shared" si="9"/>
        <v>33.921106097264563</v>
      </c>
    </row>
    <row r="140" spans="1:12" x14ac:dyDescent="0.3">
      <c r="A140" s="58" t="s">
        <v>77</v>
      </c>
      <c r="B140" s="7" t="s">
        <v>30</v>
      </c>
      <c r="C140" s="16">
        <v>1</v>
      </c>
      <c r="D140" s="16">
        <v>1</v>
      </c>
      <c r="E140" s="16">
        <v>2</v>
      </c>
      <c r="F140" s="16">
        <v>1314</v>
      </c>
      <c r="G140" s="7" t="s">
        <v>21</v>
      </c>
      <c r="H140" s="21">
        <v>16.5</v>
      </c>
      <c r="I140" s="21">
        <v>15.3</v>
      </c>
      <c r="J140" s="52">
        <v>0.75735244099999999</v>
      </c>
      <c r="K140" s="81">
        <f t="shared" si="8"/>
        <v>174.98363603353306</v>
      </c>
      <c r="L140" s="81">
        <f t="shared" si="9"/>
        <v>188.33710380350232</v>
      </c>
    </row>
    <row r="141" spans="1:12" x14ac:dyDescent="0.3">
      <c r="A141" s="58" t="s">
        <v>77</v>
      </c>
      <c r="B141" s="7" t="s">
        <v>30</v>
      </c>
      <c r="C141" s="16">
        <v>1</v>
      </c>
      <c r="D141" s="16">
        <v>1</v>
      </c>
      <c r="E141" s="16">
        <v>1</v>
      </c>
      <c r="F141" s="16">
        <v>1306</v>
      </c>
      <c r="G141" s="7" t="s">
        <v>21</v>
      </c>
      <c r="H141" s="21">
        <v>24.6</v>
      </c>
      <c r="I141" s="21">
        <v>17.5</v>
      </c>
      <c r="J141" s="52">
        <v>0.65525423699999996</v>
      </c>
      <c r="K141" s="81">
        <f t="shared" si="8"/>
        <v>377.69525652615175</v>
      </c>
      <c r="L141" s="81">
        <f t="shared" si="9"/>
        <v>391.76452658691107</v>
      </c>
    </row>
    <row r="142" spans="1:12" x14ac:dyDescent="0.3">
      <c r="A142" s="58" t="s">
        <v>77</v>
      </c>
      <c r="B142" s="7" t="s">
        <v>20</v>
      </c>
      <c r="C142" s="16">
        <v>1</v>
      </c>
      <c r="D142" s="16">
        <v>2</v>
      </c>
      <c r="E142" s="16">
        <v>2</v>
      </c>
      <c r="F142" s="16">
        <v>7469</v>
      </c>
      <c r="G142" s="7" t="s">
        <v>21</v>
      </c>
      <c r="H142" s="21">
        <v>28.6</v>
      </c>
      <c r="I142" s="21">
        <v>20.2</v>
      </c>
      <c r="J142" s="52">
        <v>0.74020527800000002</v>
      </c>
      <c r="K142" s="81">
        <f t="shared" si="8"/>
        <v>656.67763088313222</v>
      </c>
      <c r="L142" s="81">
        <f t="shared" si="9"/>
        <v>644.59924393682184</v>
      </c>
    </row>
    <row r="143" spans="1:12" x14ac:dyDescent="0.3">
      <c r="A143" s="58" t="s">
        <v>77</v>
      </c>
      <c r="B143" s="7" t="s">
        <v>26</v>
      </c>
      <c r="C143" s="16">
        <v>2</v>
      </c>
      <c r="D143" s="16">
        <v>3</v>
      </c>
      <c r="E143" s="16">
        <v>1</v>
      </c>
      <c r="F143" s="16">
        <v>651</v>
      </c>
      <c r="G143" s="7" t="s">
        <v>21</v>
      </c>
      <c r="H143" s="21">
        <v>11.8</v>
      </c>
      <c r="I143" s="21">
        <v>9.5</v>
      </c>
      <c r="J143" s="52">
        <v>0.70946454000000003</v>
      </c>
      <c r="K143" s="81">
        <f t="shared" si="8"/>
        <v>53.591429095261901</v>
      </c>
      <c r="L143" s="81">
        <f t="shared" si="9"/>
        <v>73.585987010627235</v>
      </c>
    </row>
    <row r="144" spans="1:12" x14ac:dyDescent="0.3">
      <c r="A144" s="58" t="s">
        <v>77</v>
      </c>
      <c r="B144" s="7" t="s">
        <v>20</v>
      </c>
      <c r="C144" s="16">
        <v>2</v>
      </c>
      <c r="D144" s="16">
        <v>3</v>
      </c>
      <c r="E144" s="16">
        <v>1</v>
      </c>
      <c r="F144" s="16">
        <v>714</v>
      </c>
      <c r="G144" s="7" t="s">
        <v>21</v>
      </c>
      <c r="H144" s="21">
        <v>32.700000000000003</v>
      </c>
      <c r="I144" s="21">
        <v>11.9</v>
      </c>
      <c r="J144" s="52">
        <v>0.67114569800000001</v>
      </c>
      <c r="K144" s="81">
        <f t="shared" si="8"/>
        <v>462.50807442063626</v>
      </c>
      <c r="L144" s="81">
        <f t="shared" si="9"/>
        <v>642.84923476199901</v>
      </c>
    </row>
    <row r="145" spans="1:12" x14ac:dyDescent="0.3">
      <c r="A145" s="58" t="s">
        <v>77</v>
      </c>
      <c r="B145" s="7" t="s">
        <v>44</v>
      </c>
      <c r="C145" s="16">
        <v>2</v>
      </c>
      <c r="D145" s="16">
        <v>2</v>
      </c>
      <c r="E145" s="16">
        <v>1</v>
      </c>
      <c r="F145" s="16">
        <v>359</v>
      </c>
      <c r="G145" s="7" t="s">
        <v>21</v>
      </c>
      <c r="H145" s="21">
        <v>38.6</v>
      </c>
      <c r="I145" s="21">
        <v>19.8</v>
      </c>
      <c r="J145" s="52">
        <v>0.69286545499999996</v>
      </c>
      <c r="K145" s="81">
        <f t="shared" si="8"/>
        <v>1084.0568139281822</v>
      </c>
      <c r="L145" s="81">
        <f t="shared" si="9"/>
        <v>1122.5093143692143</v>
      </c>
    </row>
    <row r="146" spans="1:12" x14ac:dyDescent="0.3">
      <c r="A146" s="58" t="s">
        <v>70</v>
      </c>
      <c r="B146" s="19" t="s">
        <v>30</v>
      </c>
      <c r="C146" s="22">
        <v>1</v>
      </c>
      <c r="D146" s="22">
        <v>1</v>
      </c>
      <c r="E146" s="22">
        <v>1</v>
      </c>
      <c r="F146" s="22">
        <v>1303</v>
      </c>
      <c r="G146" s="19" t="s">
        <v>71</v>
      </c>
      <c r="H146" s="29">
        <f>SQRT(13^2 + 23^2)</f>
        <v>26.419689627245813</v>
      </c>
      <c r="I146" s="22">
        <v>16.7</v>
      </c>
      <c r="J146" s="65">
        <v>0.49367088607594939</v>
      </c>
      <c r="K146" s="81">
        <f t="shared" si="8"/>
        <v>314.61849402512235</v>
      </c>
      <c r="L146" s="81">
        <f t="shared" si="9"/>
        <v>330.42201599446668</v>
      </c>
    </row>
    <row r="147" spans="1:12" x14ac:dyDescent="0.3">
      <c r="A147" s="58" t="s">
        <v>70</v>
      </c>
      <c r="B147" s="19" t="s">
        <v>38</v>
      </c>
      <c r="C147" s="22">
        <v>1</v>
      </c>
      <c r="D147" s="22">
        <v>3</v>
      </c>
      <c r="E147" s="22">
        <v>2</v>
      </c>
      <c r="F147" s="22">
        <v>1622</v>
      </c>
      <c r="G147" s="19" t="s">
        <v>71</v>
      </c>
      <c r="H147" s="29">
        <f>SQRT(12.3^2 + 1.9^2)</f>
        <v>12.445882853377659</v>
      </c>
      <c r="I147" s="22">
        <v>11.5</v>
      </c>
      <c r="J147" s="65">
        <v>0.51980198019801982</v>
      </c>
      <c r="K147" s="81">
        <f t="shared" si="8"/>
        <v>52.893725791988182</v>
      </c>
      <c r="L147" s="81">
        <f t="shared" si="9"/>
        <v>62.855699341717568</v>
      </c>
    </row>
    <row r="148" spans="1:12" x14ac:dyDescent="0.3">
      <c r="A148" s="58" t="s">
        <v>70</v>
      </c>
      <c r="B148" s="19" t="s">
        <v>30</v>
      </c>
      <c r="C148" s="22">
        <v>1</v>
      </c>
      <c r="D148" s="22">
        <v>2</v>
      </c>
      <c r="E148" s="22">
        <v>1</v>
      </c>
      <c r="F148" s="22">
        <v>4960</v>
      </c>
      <c r="G148" s="19" t="s">
        <v>71</v>
      </c>
      <c r="H148" s="22">
        <v>17.399999999999999</v>
      </c>
      <c r="I148" s="22">
        <v>12.7</v>
      </c>
      <c r="J148" s="65">
        <v>0.44144144144144143</v>
      </c>
      <c r="K148" s="81">
        <f t="shared" si="8"/>
        <v>95.559919524165508</v>
      </c>
      <c r="L148" s="81">
        <f t="shared" si="9"/>
        <v>110.56717415446084</v>
      </c>
    </row>
    <row r="149" spans="1:12" x14ac:dyDescent="0.3">
      <c r="A149" s="58" t="s">
        <v>70</v>
      </c>
      <c r="B149" s="19" t="s">
        <v>30</v>
      </c>
      <c r="C149" s="22">
        <v>2</v>
      </c>
      <c r="D149" s="22">
        <v>1</v>
      </c>
      <c r="E149" s="22">
        <v>1</v>
      </c>
      <c r="F149" s="12">
        <v>85</v>
      </c>
      <c r="G149" s="19" t="s">
        <v>71</v>
      </c>
      <c r="H149" s="29">
        <f>SQRT(12.7^2+16.1^2+17.1^2)</f>
        <v>26.700374529208389</v>
      </c>
      <c r="I149" s="22">
        <v>13.1</v>
      </c>
      <c r="J149" s="65">
        <v>0.5</v>
      </c>
      <c r="K149" s="81">
        <f t="shared" si="8"/>
        <v>256.58333558612424</v>
      </c>
      <c r="L149" s="81">
        <f t="shared" si="9"/>
        <v>315.39895624992721</v>
      </c>
    </row>
    <row r="150" spans="1:12" x14ac:dyDescent="0.3">
      <c r="A150" s="58" t="s">
        <v>70</v>
      </c>
      <c r="B150" s="19" t="s">
        <v>30</v>
      </c>
      <c r="C150" s="22">
        <v>2</v>
      </c>
      <c r="D150" s="22">
        <v>1</v>
      </c>
      <c r="E150" s="22">
        <v>1</v>
      </c>
      <c r="F150" s="12">
        <v>86</v>
      </c>
      <c r="G150" s="19" t="s">
        <v>71</v>
      </c>
      <c r="H150" s="22">
        <v>10.199999999999999</v>
      </c>
      <c r="I150" s="22">
        <v>9.5</v>
      </c>
      <c r="J150" s="65">
        <v>0.4494949494949495</v>
      </c>
      <c r="K150" s="81">
        <f t="shared" si="8"/>
        <v>25.829753348130183</v>
      </c>
      <c r="L150" s="81">
        <f t="shared" si="9"/>
        <v>33.098073540042442</v>
      </c>
    </row>
    <row r="151" spans="1:12" x14ac:dyDescent="0.3">
      <c r="A151" s="58" t="s">
        <v>70</v>
      </c>
      <c r="B151" s="19" t="s">
        <v>30</v>
      </c>
      <c r="C151" s="22">
        <v>2</v>
      </c>
      <c r="D151" s="22">
        <v>2</v>
      </c>
      <c r="E151" s="22">
        <v>0</v>
      </c>
      <c r="F151" s="22">
        <v>800</v>
      </c>
      <c r="G151" s="19" t="s">
        <v>71</v>
      </c>
      <c r="H151" s="22">
        <v>14.6</v>
      </c>
      <c r="I151" s="22">
        <v>6.5</v>
      </c>
      <c r="J151" s="65">
        <v>0.52631578947368418</v>
      </c>
      <c r="K151" s="81">
        <f t="shared" si="8"/>
        <v>41.89592276451657</v>
      </c>
      <c r="L151" s="81">
        <f t="shared" si="9"/>
        <v>73.485751503146403</v>
      </c>
    </row>
    <row r="152" spans="1:12" x14ac:dyDescent="0.3">
      <c r="A152" s="58" t="s">
        <v>78</v>
      </c>
      <c r="B152" s="7" t="s">
        <v>38</v>
      </c>
      <c r="C152" s="16">
        <v>1</v>
      </c>
      <c r="D152" s="16">
        <v>1</v>
      </c>
      <c r="E152" s="16"/>
      <c r="F152" s="16">
        <v>337</v>
      </c>
      <c r="G152" s="19" t="s">
        <v>21</v>
      </c>
      <c r="H152" s="21">
        <v>46.2</v>
      </c>
      <c r="I152" s="21">
        <v>20.5</v>
      </c>
      <c r="J152" s="52">
        <v>0.34851888800000003</v>
      </c>
      <c r="K152" s="81">
        <f t="shared" si="8"/>
        <v>814.48081106697123</v>
      </c>
      <c r="L152" s="81">
        <f t="shared" si="9"/>
        <v>791.79786903099875</v>
      </c>
    </row>
    <row r="153" spans="1:12" x14ac:dyDescent="0.3">
      <c r="A153" s="58" t="s">
        <v>78</v>
      </c>
      <c r="B153" s="7" t="s">
        <v>30</v>
      </c>
      <c r="C153" s="16">
        <v>1</v>
      </c>
      <c r="D153" s="16">
        <v>1</v>
      </c>
      <c r="E153" s="16"/>
      <c r="F153" s="16">
        <v>192</v>
      </c>
      <c r="G153" s="19" t="s">
        <v>21</v>
      </c>
      <c r="H153" s="21">
        <v>29.5</v>
      </c>
      <c r="I153" s="21">
        <v>21.3</v>
      </c>
      <c r="J153" s="52">
        <v>0.39513025550000003</v>
      </c>
      <c r="K153" s="81">
        <f t="shared" si="8"/>
        <v>398.12976800021079</v>
      </c>
      <c r="L153" s="81">
        <f t="shared" si="9"/>
        <v>356.37604784308274</v>
      </c>
    </row>
    <row r="154" spans="1:12" x14ac:dyDescent="0.3">
      <c r="A154" s="58" t="s">
        <v>78</v>
      </c>
      <c r="B154" s="7" t="s">
        <v>30</v>
      </c>
      <c r="C154" s="16">
        <v>1</v>
      </c>
      <c r="D154" s="16">
        <v>1</v>
      </c>
      <c r="E154" s="16"/>
      <c r="F154" s="16">
        <v>217</v>
      </c>
      <c r="G154" s="19" t="s">
        <v>21</v>
      </c>
      <c r="H154" s="21">
        <v>20.7</v>
      </c>
      <c r="I154" s="21">
        <v>11.7</v>
      </c>
      <c r="J154" s="52">
        <v>0.36545761399999999</v>
      </c>
      <c r="K154" s="81">
        <f t="shared" si="8"/>
        <v>102.95975625215505</v>
      </c>
      <c r="L154" s="81">
        <f t="shared" si="9"/>
        <v>126.56155076276887</v>
      </c>
    </row>
    <row r="155" spans="1:12" x14ac:dyDescent="0.3">
      <c r="A155" s="58" t="s">
        <v>78</v>
      </c>
      <c r="B155" s="19" t="s">
        <v>38</v>
      </c>
      <c r="C155" s="22">
        <v>2</v>
      </c>
      <c r="D155" s="22">
        <v>3</v>
      </c>
      <c r="E155" s="22">
        <v>1</v>
      </c>
      <c r="F155" s="22">
        <v>615</v>
      </c>
      <c r="G155" s="19" t="s">
        <v>21</v>
      </c>
      <c r="H155" s="21">
        <v>35</v>
      </c>
      <c r="I155" s="21">
        <v>16.600000000000001</v>
      </c>
      <c r="J155" s="52">
        <v>0.44823586999999998</v>
      </c>
      <c r="K155" s="81">
        <f t="shared" si="8"/>
        <v>492.86937097590055</v>
      </c>
      <c r="L155" s="81">
        <f t="shared" si="9"/>
        <v>537.94594895406692</v>
      </c>
    </row>
    <row r="156" spans="1:12" x14ac:dyDescent="0.3">
      <c r="A156" s="58" t="s">
        <v>78</v>
      </c>
      <c r="B156" s="7" t="s">
        <v>38</v>
      </c>
      <c r="C156" s="16">
        <v>2</v>
      </c>
      <c r="D156" s="16">
        <v>3</v>
      </c>
      <c r="E156" s="16"/>
      <c r="F156" s="16">
        <v>353</v>
      </c>
      <c r="G156" s="19" t="s">
        <v>21</v>
      </c>
      <c r="H156" s="21">
        <v>26.9</v>
      </c>
      <c r="I156" s="21">
        <v>16.100000000000001</v>
      </c>
      <c r="J156" s="52">
        <v>0.3787728655</v>
      </c>
      <c r="K156" s="81">
        <f t="shared" si="8"/>
        <v>242.80148391391114</v>
      </c>
      <c r="L156" s="81">
        <f t="shared" si="9"/>
        <v>254.83427594105876</v>
      </c>
    </row>
    <row r="157" spans="1:12" x14ac:dyDescent="0.3">
      <c r="A157" s="58" t="s">
        <v>61</v>
      </c>
      <c r="B157" s="19" t="s">
        <v>30</v>
      </c>
      <c r="C157" s="22">
        <v>2</v>
      </c>
      <c r="D157" s="22">
        <v>3</v>
      </c>
      <c r="E157" s="22">
        <v>1</v>
      </c>
      <c r="F157" s="22">
        <v>586</v>
      </c>
      <c r="G157" s="19" t="s">
        <v>21</v>
      </c>
      <c r="H157" s="22">
        <v>10.6</v>
      </c>
      <c r="I157" s="22">
        <v>9.8000000000000007</v>
      </c>
      <c r="J157" s="65">
        <v>0.6863636363636364</v>
      </c>
      <c r="K157" s="81">
        <f t="shared" si="8"/>
        <v>43.383613980599669</v>
      </c>
      <c r="L157" s="81">
        <f t="shared" si="9"/>
        <v>57.230413997377696</v>
      </c>
    </row>
    <row r="158" spans="1:12" x14ac:dyDescent="0.3">
      <c r="A158" s="58" t="s">
        <v>61</v>
      </c>
      <c r="B158" s="19" t="s">
        <v>30</v>
      </c>
      <c r="C158" s="22">
        <v>2</v>
      </c>
      <c r="D158" s="22">
        <v>3</v>
      </c>
      <c r="E158" s="22">
        <v>1</v>
      </c>
      <c r="F158" s="22">
        <v>592</v>
      </c>
      <c r="G158" s="19" t="s">
        <v>21</v>
      </c>
      <c r="H158" s="22">
        <v>31.8</v>
      </c>
      <c r="I158" s="22">
        <v>12.6</v>
      </c>
      <c r="J158" s="65">
        <v>0.62278481012658227</v>
      </c>
      <c r="K158" s="81">
        <f t="shared" si="8"/>
        <v>430.51506535806618</v>
      </c>
      <c r="L158" s="81">
        <f t="shared" si="9"/>
        <v>570.15763977128756</v>
      </c>
    </row>
    <row r="159" spans="1:12" x14ac:dyDescent="0.3">
      <c r="A159" s="58" t="s">
        <v>61</v>
      </c>
      <c r="B159" s="19" t="s">
        <v>30</v>
      </c>
      <c r="C159" s="22">
        <v>2</v>
      </c>
      <c r="D159" s="22">
        <v>3</v>
      </c>
      <c r="E159" s="22">
        <v>1</v>
      </c>
      <c r="F159" s="22">
        <v>594</v>
      </c>
      <c r="G159" s="19" t="s">
        <v>21</v>
      </c>
      <c r="H159" s="22">
        <v>30.5</v>
      </c>
      <c r="I159" s="22">
        <v>13.2</v>
      </c>
      <c r="J159" s="65">
        <v>0.72512647554806076</v>
      </c>
      <c r="K159" s="81">
        <f t="shared" si="8"/>
        <v>481.73959080859117</v>
      </c>
      <c r="L159" s="81">
        <f t="shared" si="9"/>
        <v>624.85481485633954</v>
      </c>
    </row>
    <row r="160" spans="1:12" x14ac:dyDescent="0.3">
      <c r="A160" s="58" t="s">
        <v>61</v>
      </c>
      <c r="B160" s="19" t="s">
        <v>44</v>
      </c>
      <c r="C160" s="22">
        <v>2</v>
      </c>
      <c r="D160" s="22">
        <v>3</v>
      </c>
      <c r="E160" s="22">
        <v>1</v>
      </c>
      <c r="F160" s="22">
        <v>699</v>
      </c>
      <c r="G160" s="19" t="s">
        <v>21</v>
      </c>
      <c r="H160" s="22">
        <v>10.199999999999999</v>
      </c>
      <c r="I160" s="22">
        <v>9.1999999999999993</v>
      </c>
      <c r="J160" s="65">
        <v>0.67123287671232879</v>
      </c>
      <c r="K160" s="81">
        <f t="shared" si="8"/>
        <v>37.024378886917354</v>
      </c>
      <c r="L160" s="81">
        <f t="shared" si="9"/>
        <v>50.422268728165783</v>
      </c>
    </row>
    <row r="161" spans="1:12" x14ac:dyDescent="0.3">
      <c r="A161" s="58" t="s">
        <v>61</v>
      </c>
      <c r="B161" s="19" t="s">
        <v>20</v>
      </c>
      <c r="C161" s="22">
        <v>2</v>
      </c>
      <c r="D161" s="22">
        <v>3</v>
      </c>
      <c r="E161" s="22">
        <v>1</v>
      </c>
      <c r="F161" s="22">
        <v>721</v>
      </c>
      <c r="G161" s="19" t="s">
        <v>21</v>
      </c>
      <c r="H161" s="29">
        <f>SQRT(16.2^2+14.1^2+11.9^2)</f>
        <v>24.553207529770933</v>
      </c>
      <c r="I161" s="22">
        <v>12.1</v>
      </c>
      <c r="J161" s="65">
        <v>0.69767441860465118</v>
      </c>
      <c r="K161" s="81">
        <f t="shared" si="8"/>
        <v>279.06796892180103</v>
      </c>
      <c r="L161" s="81">
        <f t="shared" si="9"/>
        <v>368.24356530795887</v>
      </c>
    </row>
    <row r="162" spans="1:12" x14ac:dyDescent="0.3">
      <c r="A162" s="58" t="s">
        <v>69</v>
      </c>
      <c r="B162" s="19" t="s">
        <v>30</v>
      </c>
      <c r="C162" s="22">
        <v>1</v>
      </c>
      <c r="D162" s="22">
        <v>1</v>
      </c>
      <c r="E162" s="22">
        <v>2</v>
      </c>
      <c r="F162" s="22">
        <v>1330</v>
      </c>
      <c r="G162" s="19" t="s">
        <v>54</v>
      </c>
      <c r="H162" s="22">
        <v>13</v>
      </c>
      <c r="I162" s="22">
        <v>9.6</v>
      </c>
      <c r="J162" s="65">
        <v>0.43252595155709345</v>
      </c>
      <c r="K162" s="81">
        <f t="shared" ref="K162:K179" si="10">((0.0673)*((J162*H162^2*I162)^0.976))</f>
        <v>40.35311727239008</v>
      </c>
      <c r="L162" s="81">
        <f t="shared" ref="L162:L179" si="11">EXP(-1.305+1.055*LN(H162^2)+0.34*LN(I162)+1.077*LN(J162))</f>
        <v>53.164716344182274</v>
      </c>
    </row>
    <row r="163" spans="1:12" x14ac:dyDescent="0.3">
      <c r="A163" s="58" t="s">
        <v>69</v>
      </c>
      <c r="B163" s="19" t="s">
        <v>44</v>
      </c>
      <c r="C163" s="22">
        <v>1</v>
      </c>
      <c r="D163" s="22">
        <v>2</v>
      </c>
      <c r="E163" s="22">
        <v>2</v>
      </c>
      <c r="F163" s="22">
        <v>1794</v>
      </c>
      <c r="G163" s="19" t="s">
        <v>54</v>
      </c>
      <c r="H163" s="22">
        <v>12.8</v>
      </c>
      <c r="I163" s="22">
        <v>9.4</v>
      </c>
      <c r="J163" s="65">
        <v>0.43609022556390975</v>
      </c>
      <c r="K163" s="81">
        <f t="shared" si="10"/>
        <v>38.662348411836803</v>
      </c>
      <c r="L163" s="81">
        <f t="shared" si="11"/>
        <v>51.540180959640246</v>
      </c>
    </row>
    <row r="164" spans="1:12" x14ac:dyDescent="0.3">
      <c r="A164" s="58" t="s">
        <v>69</v>
      </c>
      <c r="B164" s="19" t="s">
        <v>24</v>
      </c>
      <c r="C164" s="22">
        <v>1</v>
      </c>
      <c r="D164" s="22">
        <v>2</v>
      </c>
      <c r="E164" s="22">
        <v>2</v>
      </c>
      <c r="F164" s="22">
        <v>3589</v>
      </c>
      <c r="G164" s="19" t="s">
        <v>54</v>
      </c>
      <c r="H164" s="22">
        <v>13.8</v>
      </c>
      <c r="I164" s="22">
        <v>7.5</v>
      </c>
      <c r="J164" s="65">
        <v>0.4375</v>
      </c>
      <c r="K164" s="81">
        <f t="shared" si="10"/>
        <v>36.034078301921397</v>
      </c>
      <c r="L164" s="81">
        <f t="shared" si="11"/>
        <v>56.136427487314705</v>
      </c>
    </row>
    <row r="165" spans="1:12" x14ac:dyDescent="0.3">
      <c r="A165" s="58" t="s">
        <v>69</v>
      </c>
      <c r="B165" s="19" t="s">
        <v>24</v>
      </c>
      <c r="C165" s="22">
        <v>2</v>
      </c>
      <c r="D165" s="22">
        <v>1</v>
      </c>
      <c r="E165" s="22">
        <v>1</v>
      </c>
      <c r="F165" s="22">
        <v>143</v>
      </c>
      <c r="G165" s="19" t="s">
        <v>54</v>
      </c>
      <c r="H165" s="22">
        <f>SQRT(10^2+10.5^2)</f>
        <v>14.5</v>
      </c>
      <c r="I165" s="22">
        <v>9.4</v>
      </c>
      <c r="J165" s="65">
        <v>0.36301369863013699</v>
      </c>
      <c r="K165" s="81">
        <f t="shared" si="10"/>
        <v>41.234720124023347</v>
      </c>
      <c r="L165" s="81">
        <f t="shared" si="11"/>
        <v>55.034210665303689</v>
      </c>
    </row>
    <row r="166" spans="1:12" x14ac:dyDescent="0.3">
      <c r="A166" s="58" t="s">
        <v>69</v>
      </c>
      <c r="B166" s="19" t="s">
        <v>59</v>
      </c>
      <c r="C166" s="22">
        <v>2</v>
      </c>
      <c r="D166" s="22">
        <v>1</v>
      </c>
      <c r="E166" s="22">
        <v>1</v>
      </c>
      <c r="F166" s="22">
        <v>276</v>
      </c>
      <c r="G166" s="19" t="s">
        <v>54</v>
      </c>
      <c r="H166" s="29">
        <f>SQRT(12.2^2+9^2+8.4^2+11.8^2)</f>
        <v>20.967594044143453</v>
      </c>
      <c r="I166" s="22">
        <v>6.3</v>
      </c>
      <c r="J166" s="65">
        <v>0.42028985507246375</v>
      </c>
      <c r="K166" s="81">
        <f t="shared" si="10"/>
        <v>66.132972009403403</v>
      </c>
      <c r="L166" s="81">
        <f t="shared" si="11"/>
        <v>122.47605978522188</v>
      </c>
    </row>
    <row r="167" spans="1:12" x14ac:dyDescent="0.3">
      <c r="A167" s="58" t="s">
        <v>69</v>
      </c>
      <c r="B167" s="19" t="s">
        <v>30</v>
      </c>
      <c r="C167" s="22">
        <v>2</v>
      </c>
      <c r="D167" s="22">
        <v>1</v>
      </c>
      <c r="E167" s="22">
        <v>1</v>
      </c>
      <c r="F167" s="22">
        <v>78</v>
      </c>
      <c r="G167" s="19" t="s">
        <v>54</v>
      </c>
      <c r="H167" s="29">
        <f>SQRT(11.5^2+6.6^2+5.4^2)</f>
        <v>14.316773379501402</v>
      </c>
      <c r="I167" s="22">
        <v>11.9</v>
      </c>
      <c r="J167" s="65">
        <v>0.42567567567567566</v>
      </c>
      <c r="K167" s="81">
        <f t="shared" si="10"/>
        <v>59.147933302101769</v>
      </c>
      <c r="L167" s="81">
        <f t="shared" si="11"/>
        <v>68.910093621170745</v>
      </c>
    </row>
    <row r="168" spans="1:12" x14ac:dyDescent="0.3">
      <c r="A168" s="58" t="s">
        <v>62</v>
      </c>
      <c r="B168" s="19" t="s">
        <v>26</v>
      </c>
      <c r="C168" s="22">
        <v>1</v>
      </c>
      <c r="D168" s="22">
        <v>2</v>
      </c>
      <c r="E168" s="22">
        <v>2</v>
      </c>
      <c r="F168" s="22">
        <v>1360</v>
      </c>
      <c r="G168" s="19" t="s">
        <v>63</v>
      </c>
      <c r="H168" s="22">
        <v>10.7</v>
      </c>
      <c r="I168" s="22">
        <v>5.3</v>
      </c>
      <c r="J168" s="65">
        <v>0.21111111111111111</v>
      </c>
      <c r="K168" s="81">
        <f t="shared" si="10"/>
        <v>7.6734076781414435</v>
      </c>
      <c r="L168" s="81">
        <f t="shared" si="11"/>
        <v>13.304474125928181</v>
      </c>
    </row>
    <row r="169" spans="1:12" x14ac:dyDescent="0.3">
      <c r="A169" s="58" t="s">
        <v>62</v>
      </c>
      <c r="B169" s="19" t="s">
        <v>20</v>
      </c>
      <c r="C169" s="22">
        <v>1</v>
      </c>
      <c r="D169" s="22">
        <v>2</v>
      </c>
      <c r="E169" s="22">
        <v>2</v>
      </c>
      <c r="F169" s="22">
        <v>7462</v>
      </c>
      <c r="G169" s="19" t="s">
        <v>63</v>
      </c>
      <c r="H169" s="22">
        <v>11.1</v>
      </c>
      <c r="I169" s="22">
        <v>6.6</v>
      </c>
      <c r="J169" s="65">
        <v>0.26605504587155965</v>
      </c>
      <c r="K169" s="81">
        <f t="shared" si="10"/>
        <v>12.797719405074604</v>
      </c>
      <c r="L169" s="81">
        <f t="shared" si="11"/>
        <v>19.870849309509811</v>
      </c>
    </row>
    <row r="170" spans="1:12" x14ac:dyDescent="0.3">
      <c r="A170" s="58" t="s">
        <v>62</v>
      </c>
      <c r="B170" s="19" t="s">
        <v>20</v>
      </c>
      <c r="C170" s="22">
        <v>1</v>
      </c>
      <c r="D170" s="22">
        <v>2</v>
      </c>
      <c r="E170" s="22">
        <v>2</v>
      </c>
      <c r="F170" s="22">
        <v>7478</v>
      </c>
      <c r="G170" s="19" t="s">
        <v>63</v>
      </c>
      <c r="H170" s="22">
        <v>10.4</v>
      </c>
      <c r="I170" s="22">
        <v>7.3</v>
      </c>
      <c r="J170" s="65">
        <v>0.19277108433734941</v>
      </c>
      <c r="K170" s="81">
        <f t="shared" si="10"/>
        <v>9.079629744672193</v>
      </c>
      <c r="L170" s="81">
        <f t="shared" si="11"/>
        <v>12.667938179325953</v>
      </c>
    </row>
    <row r="171" spans="1:12" x14ac:dyDescent="0.3">
      <c r="A171" s="58" t="s">
        <v>62</v>
      </c>
      <c r="B171" s="19" t="s">
        <v>20</v>
      </c>
      <c r="C171" s="22">
        <v>1</v>
      </c>
      <c r="D171" s="22">
        <v>2</v>
      </c>
      <c r="E171" s="22">
        <v>2</v>
      </c>
      <c r="F171" s="22">
        <v>7479</v>
      </c>
      <c r="G171" s="19" t="s">
        <v>63</v>
      </c>
      <c r="H171" s="22">
        <v>16.2</v>
      </c>
      <c r="I171" s="22">
        <v>7.5</v>
      </c>
      <c r="J171" s="65">
        <v>0.22222222222222221</v>
      </c>
      <c r="K171" s="81">
        <f t="shared" si="10"/>
        <v>25.439744910365835</v>
      </c>
      <c r="L171" s="81">
        <f t="shared" si="11"/>
        <v>37.960623233819227</v>
      </c>
    </row>
    <row r="172" spans="1:12" x14ac:dyDescent="0.3">
      <c r="A172" s="58" t="s">
        <v>62</v>
      </c>
      <c r="B172" s="19" t="s">
        <v>20</v>
      </c>
      <c r="C172" s="22">
        <v>1</v>
      </c>
      <c r="D172" s="22">
        <v>2</v>
      </c>
      <c r="E172" s="22">
        <v>2</v>
      </c>
      <c r="F172" s="22">
        <v>7480</v>
      </c>
      <c r="G172" s="19" t="s">
        <v>63</v>
      </c>
      <c r="H172" s="29">
        <f>SQRT(11.6^2+8.4^2)</f>
        <v>14.322011031974526</v>
      </c>
      <c r="I172" s="22">
        <v>6.4</v>
      </c>
      <c r="J172" s="65">
        <v>0.27160493827160492</v>
      </c>
      <c r="K172" s="81">
        <f t="shared" si="10"/>
        <v>20.839615056669487</v>
      </c>
      <c r="L172" s="81">
        <f t="shared" si="11"/>
        <v>34.424385969569443</v>
      </c>
    </row>
    <row r="173" spans="1:12" x14ac:dyDescent="0.3">
      <c r="A173" s="58" t="s">
        <v>62</v>
      </c>
      <c r="B173" s="19" t="s">
        <v>20</v>
      </c>
      <c r="C173" s="22">
        <v>1</v>
      </c>
      <c r="D173" s="22">
        <v>2</v>
      </c>
      <c r="E173" s="22">
        <v>2</v>
      </c>
      <c r="F173" s="22">
        <v>7482</v>
      </c>
      <c r="G173" s="19" t="s">
        <v>63</v>
      </c>
      <c r="H173" s="22">
        <v>12</v>
      </c>
      <c r="I173" s="22">
        <v>7.4</v>
      </c>
      <c r="J173" s="65">
        <v>0.21551724137931033</v>
      </c>
      <c r="K173" s="81">
        <f t="shared" si="10"/>
        <v>13.565177033906943</v>
      </c>
      <c r="L173" s="81">
        <f t="shared" si="11"/>
        <v>19.409620761511146</v>
      </c>
    </row>
    <row r="174" spans="1:12" x14ac:dyDescent="0.3">
      <c r="A174" s="58" t="s">
        <v>43</v>
      </c>
      <c r="B174" s="19" t="s">
        <v>44</v>
      </c>
      <c r="C174" s="22">
        <v>1</v>
      </c>
      <c r="D174" s="22">
        <v>3</v>
      </c>
      <c r="E174" s="22">
        <v>2</v>
      </c>
      <c r="F174" s="22">
        <v>3223</v>
      </c>
      <c r="G174" s="19" t="s">
        <v>45</v>
      </c>
      <c r="H174" s="22">
        <v>15.2</v>
      </c>
      <c r="I174" s="22">
        <v>13.9</v>
      </c>
      <c r="J174" s="65">
        <v>0.58227848101265822</v>
      </c>
      <c r="K174" s="81">
        <f t="shared" si="10"/>
        <v>105.03252244550795</v>
      </c>
      <c r="L174" s="81">
        <f t="shared" si="11"/>
        <v>115.50652308880539</v>
      </c>
    </row>
    <row r="175" spans="1:12" x14ac:dyDescent="0.3">
      <c r="A175" s="58" t="s">
        <v>43</v>
      </c>
      <c r="B175" s="19" t="s">
        <v>44</v>
      </c>
      <c r="C175" s="22">
        <v>1</v>
      </c>
      <c r="D175" s="22">
        <v>3</v>
      </c>
      <c r="E175" s="22">
        <v>2</v>
      </c>
      <c r="F175" s="22">
        <v>3224</v>
      </c>
      <c r="G175" s="19" t="s">
        <v>45</v>
      </c>
      <c r="H175" s="22">
        <v>14.9</v>
      </c>
      <c r="I175" s="22">
        <v>14.9</v>
      </c>
      <c r="J175" s="65">
        <v>0.53846153846153844</v>
      </c>
      <c r="K175" s="81">
        <f t="shared" si="10"/>
        <v>100.16394782751173</v>
      </c>
      <c r="L175" s="81">
        <f t="shared" si="11"/>
        <v>104.23310073500977</v>
      </c>
    </row>
    <row r="176" spans="1:12" x14ac:dyDescent="0.3">
      <c r="A176" s="58" t="s">
        <v>43</v>
      </c>
      <c r="B176" s="19" t="s">
        <v>20</v>
      </c>
      <c r="C176" s="22">
        <v>1</v>
      </c>
      <c r="D176" s="22">
        <v>3</v>
      </c>
      <c r="E176" s="22">
        <v>1</v>
      </c>
      <c r="F176" s="22">
        <v>3230</v>
      </c>
      <c r="G176" s="19" t="s">
        <v>45</v>
      </c>
      <c r="H176" s="22">
        <v>13.7</v>
      </c>
      <c r="I176" s="22">
        <v>13.3</v>
      </c>
      <c r="J176" s="67">
        <v>0.49342105263157893</v>
      </c>
      <c r="K176" s="81">
        <f t="shared" si="10"/>
        <v>69.880059184368903</v>
      </c>
      <c r="L176" s="81">
        <f t="shared" si="11"/>
        <v>76.459436363136234</v>
      </c>
    </row>
    <row r="177" spans="1:12" x14ac:dyDescent="0.3">
      <c r="A177" s="58" t="s">
        <v>43</v>
      </c>
      <c r="B177" s="19" t="s">
        <v>20</v>
      </c>
      <c r="C177" s="22">
        <v>2</v>
      </c>
      <c r="D177" s="22">
        <v>1</v>
      </c>
      <c r="E177" s="22">
        <v>1</v>
      </c>
      <c r="F177" s="22">
        <v>38</v>
      </c>
      <c r="G177" s="19" t="s">
        <v>45</v>
      </c>
      <c r="H177" s="22">
        <v>14.6</v>
      </c>
      <c r="I177" s="22">
        <v>11.2</v>
      </c>
      <c r="J177" s="65">
        <v>0.54658385093167705</v>
      </c>
      <c r="K177" s="81">
        <f t="shared" si="10"/>
        <v>73.930162681484205</v>
      </c>
      <c r="L177" s="81">
        <f t="shared" si="11"/>
        <v>92.091749595943767</v>
      </c>
    </row>
    <row r="178" spans="1:12" x14ac:dyDescent="0.3">
      <c r="A178" s="58" t="s">
        <v>43</v>
      </c>
      <c r="B178" s="19" t="s">
        <v>44</v>
      </c>
      <c r="C178" s="22">
        <v>2</v>
      </c>
      <c r="D178" s="22">
        <v>2</v>
      </c>
      <c r="E178" s="22">
        <v>2</v>
      </c>
      <c r="F178" s="22">
        <v>383</v>
      </c>
      <c r="G178" s="19" t="s">
        <v>45</v>
      </c>
      <c r="H178" s="22">
        <v>13.7</v>
      </c>
      <c r="I178" s="22">
        <v>12.6</v>
      </c>
      <c r="J178" s="65">
        <v>0.61250000000000004</v>
      </c>
      <c r="K178" s="81">
        <f t="shared" si="10"/>
        <v>81.859824675151643</v>
      </c>
      <c r="L178" s="81">
        <f t="shared" si="11"/>
        <v>94.746973314952882</v>
      </c>
    </row>
    <row r="179" spans="1:12" x14ac:dyDescent="0.3">
      <c r="A179" s="58" t="s">
        <v>43</v>
      </c>
      <c r="B179" s="19" t="s">
        <v>24</v>
      </c>
      <c r="C179" s="22">
        <v>2</v>
      </c>
      <c r="D179" s="22">
        <v>2</v>
      </c>
      <c r="E179" s="22">
        <v>2</v>
      </c>
      <c r="F179" s="22">
        <v>539</v>
      </c>
      <c r="G179" s="19" t="s">
        <v>45</v>
      </c>
      <c r="H179" s="22">
        <v>11.6</v>
      </c>
      <c r="I179" s="22">
        <v>8.5</v>
      </c>
      <c r="J179" s="65">
        <v>0.56896551724137934</v>
      </c>
      <c r="K179" s="81">
        <f t="shared" si="10"/>
        <v>37.489859626692365</v>
      </c>
      <c r="L179" s="81">
        <f t="shared" si="11"/>
        <v>53.886758182957649</v>
      </c>
    </row>
  </sheetData>
  <sortState xmlns:xlrd2="http://schemas.microsoft.com/office/spreadsheetml/2017/richdata2" ref="A2:O179">
    <sortCondition ref="A2:A179"/>
  </sortState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7D02-52A6-4250-873A-5D30678EBB8D}">
  <dimension ref="A1:B1425"/>
  <sheetViews>
    <sheetView workbookViewId="0">
      <selection activeCell="E9" sqref="E9"/>
    </sheetView>
  </sheetViews>
  <sheetFormatPr defaultRowHeight="14.4" x14ac:dyDescent="0.3"/>
  <cols>
    <col min="1" max="1" width="9.109375" style="2"/>
    <col min="2" max="2" width="13.6640625" style="2" bestFit="1" customWidth="1"/>
    <col min="3" max="4" width="13.6640625" bestFit="1" customWidth="1"/>
    <col min="5" max="5" width="12.5546875" bestFit="1" customWidth="1"/>
    <col min="6" max="9" width="13.6640625" bestFit="1" customWidth="1"/>
  </cols>
  <sheetData>
    <row r="1" spans="1:2" x14ac:dyDescent="0.3">
      <c r="A1" s="75" t="s">
        <v>150</v>
      </c>
      <c r="B1" s="75" t="s">
        <v>151</v>
      </c>
    </row>
    <row r="2" spans="1:2" x14ac:dyDescent="0.3">
      <c r="A2" s="2" t="s">
        <v>152</v>
      </c>
      <c r="B2" s="76">
        <v>84.098977486623539</v>
      </c>
    </row>
    <row r="3" spans="1:2" x14ac:dyDescent="0.3">
      <c r="A3" s="2" t="s">
        <v>152</v>
      </c>
      <c r="B3" s="76">
        <v>690.63548441771218</v>
      </c>
    </row>
    <row r="4" spans="1:2" x14ac:dyDescent="0.3">
      <c r="A4" s="2" t="s">
        <v>152</v>
      </c>
      <c r="B4" s="76">
        <v>1238.6820419676594</v>
      </c>
    </row>
    <row r="5" spans="1:2" x14ac:dyDescent="0.3">
      <c r="A5" s="2" t="s">
        <v>152</v>
      </c>
      <c r="B5" s="76">
        <v>476.61325503947177</v>
      </c>
    </row>
    <row r="6" spans="1:2" x14ac:dyDescent="0.3">
      <c r="A6" s="2" t="s">
        <v>152</v>
      </c>
      <c r="B6" s="76">
        <v>208.91406725498325</v>
      </c>
    </row>
    <row r="7" spans="1:2" x14ac:dyDescent="0.3">
      <c r="A7" s="2" t="s">
        <v>152</v>
      </c>
      <c r="B7" s="76">
        <v>99.132429630519496</v>
      </c>
    </row>
    <row r="8" spans="1:2" x14ac:dyDescent="0.3">
      <c r="A8" s="2" t="s">
        <v>152</v>
      </c>
      <c r="B8" s="76">
        <v>42.16712682704506</v>
      </c>
    </row>
    <row r="9" spans="1:2" x14ac:dyDescent="0.3">
      <c r="A9" s="2" t="s">
        <v>152</v>
      </c>
      <c r="B9" s="76">
        <v>77.891892706831428</v>
      </c>
    </row>
    <row r="10" spans="1:2" x14ac:dyDescent="0.3">
      <c r="A10" s="2" t="s">
        <v>152</v>
      </c>
      <c r="B10" s="76">
        <v>123.54375848971559</v>
      </c>
    </row>
    <row r="11" spans="1:2" x14ac:dyDescent="0.3">
      <c r="A11" s="2" t="s">
        <v>152</v>
      </c>
      <c r="B11" s="76">
        <v>93.954915410988093</v>
      </c>
    </row>
    <row r="12" spans="1:2" x14ac:dyDescent="0.3">
      <c r="A12" s="2" t="s">
        <v>152</v>
      </c>
      <c r="B12" s="76">
        <v>47.594474183359388</v>
      </c>
    </row>
    <row r="13" spans="1:2" x14ac:dyDescent="0.3">
      <c r="A13" s="2" t="s">
        <v>152</v>
      </c>
      <c r="B13" s="76">
        <v>185.01921441982611</v>
      </c>
    </row>
    <row r="14" spans="1:2" x14ac:dyDescent="0.3">
      <c r="A14" s="2" t="s">
        <v>152</v>
      </c>
      <c r="B14" s="76">
        <v>265.24682097801775</v>
      </c>
    </row>
    <row r="15" spans="1:2" x14ac:dyDescent="0.3">
      <c r="A15" s="2" t="s">
        <v>152</v>
      </c>
      <c r="B15" s="76">
        <v>179.94607160887639</v>
      </c>
    </row>
    <row r="16" spans="1:2" x14ac:dyDescent="0.3">
      <c r="A16" s="2" t="s">
        <v>152</v>
      </c>
      <c r="B16" s="76">
        <v>131.71618146073786</v>
      </c>
    </row>
    <row r="17" spans="1:2" x14ac:dyDescent="0.3">
      <c r="A17" s="2" t="s">
        <v>152</v>
      </c>
      <c r="B17" s="76">
        <v>99.132429630519496</v>
      </c>
    </row>
    <row r="18" spans="1:2" x14ac:dyDescent="0.3">
      <c r="A18" s="2" t="s">
        <v>152</v>
      </c>
      <c r="B18" s="76">
        <v>340.89925789642552</v>
      </c>
    </row>
    <row r="19" spans="1:2" x14ac:dyDescent="0.3">
      <c r="A19" s="2" t="s">
        <v>152</v>
      </c>
      <c r="B19" s="76">
        <v>63.612743766664323</v>
      </c>
    </row>
    <row r="20" spans="1:2" x14ac:dyDescent="0.3">
      <c r="A20" s="2" t="s">
        <v>152</v>
      </c>
      <c r="B20" s="76">
        <v>115.68574643748518</v>
      </c>
    </row>
    <row r="21" spans="1:2" x14ac:dyDescent="0.3">
      <c r="A21" s="2" t="s">
        <v>152</v>
      </c>
      <c r="B21" s="76">
        <v>109.99598540047349</v>
      </c>
    </row>
    <row r="22" spans="1:2" x14ac:dyDescent="0.3">
      <c r="A22" s="2" t="s">
        <v>152</v>
      </c>
      <c r="B22" s="76">
        <v>88.94440014742446</v>
      </c>
    </row>
    <row r="23" spans="1:2" x14ac:dyDescent="0.3">
      <c r="A23" s="2" t="s">
        <v>152</v>
      </c>
      <c r="B23" s="76">
        <v>104.47883005194718</v>
      </c>
    </row>
    <row r="24" spans="1:2" x14ac:dyDescent="0.3">
      <c r="A24" s="2" t="s">
        <v>152</v>
      </c>
      <c r="B24" s="76">
        <v>88.94440014742446</v>
      </c>
    </row>
    <row r="25" spans="1:2" x14ac:dyDescent="0.3">
      <c r="A25" s="2" t="s">
        <v>152</v>
      </c>
      <c r="B25" s="76">
        <v>58.384059465890132</v>
      </c>
    </row>
    <row r="26" spans="1:2" x14ac:dyDescent="0.3">
      <c r="A26" s="2" t="s">
        <v>152</v>
      </c>
      <c r="B26" s="76">
        <v>109.99598540047349</v>
      </c>
    </row>
    <row r="27" spans="1:2" x14ac:dyDescent="0.3">
      <c r="A27" s="2" t="s">
        <v>152</v>
      </c>
      <c r="B27" s="76">
        <v>146.78722072945141</v>
      </c>
    </row>
    <row r="28" spans="1:2" x14ac:dyDescent="0.3">
      <c r="A28" s="2" t="s">
        <v>152</v>
      </c>
      <c r="B28" s="76">
        <v>129.64336654416385</v>
      </c>
    </row>
    <row r="29" spans="1:2" x14ac:dyDescent="0.3">
      <c r="A29" s="2" t="s">
        <v>152</v>
      </c>
      <c r="B29" s="76">
        <v>387.08448914393875</v>
      </c>
    </row>
    <row r="30" spans="1:2" x14ac:dyDescent="0.3">
      <c r="A30" s="2" t="s">
        <v>152</v>
      </c>
      <c r="B30" s="76">
        <v>383.09972149033246</v>
      </c>
    </row>
    <row r="31" spans="1:2" x14ac:dyDescent="0.3">
      <c r="A31" s="2" t="s">
        <v>152</v>
      </c>
      <c r="B31" s="76">
        <v>100.8957053124434</v>
      </c>
    </row>
    <row r="32" spans="1:2" x14ac:dyDescent="0.3">
      <c r="A32" s="2" t="s">
        <v>152</v>
      </c>
      <c r="B32" s="76">
        <v>62.280112436143334</v>
      </c>
    </row>
    <row r="33" spans="1:2" x14ac:dyDescent="0.3">
      <c r="A33" s="2" t="s">
        <v>152</v>
      </c>
      <c r="B33" s="76">
        <v>53.424094875784782</v>
      </c>
    </row>
    <row r="34" spans="1:2" x14ac:dyDescent="0.3">
      <c r="A34" s="2" t="s">
        <v>152</v>
      </c>
      <c r="B34" s="76">
        <v>301.63977000787838</v>
      </c>
    </row>
    <row r="35" spans="1:2" x14ac:dyDescent="0.3">
      <c r="A35" s="2" t="s">
        <v>152</v>
      </c>
      <c r="B35" s="76">
        <v>76.384904972719994</v>
      </c>
    </row>
    <row r="36" spans="1:2" x14ac:dyDescent="0.3">
      <c r="A36" s="2" t="s">
        <v>152</v>
      </c>
      <c r="B36" s="76">
        <v>301.63977000787838</v>
      </c>
    </row>
    <row r="37" spans="1:2" x14ac:dyDescent="0.3">
      <c r="A37" s="2" t="s">
        <v>152</v>
      </c>
      <c r="B37" s="76">
        <v>135.92162636039748</v>
      </c>
    </row>
    <row r="38" spans="1:2" x14ac:dyDescent="0.3">
      <c r="A38" s="2" t="s">
        <v>152</v>
      </c>
      <c r="B38" s="76">
        <v>82.520191522792317</v>
      </c>
    </row>
    <row r="39" spans="1:2" x14ac:dyDescent="0.3">
      <c r="A39" s="2" t="s">
        <v>152</v>
      </c>
      <c r="B39" s="76">
        <v>77.891892706831428</v>
      </c>
    </row>
    <row r="40" spans="1:2" x14ac:dyDescent="0.3">
      <c r="A40" s="2" t="s">
        <v>152</v>
      </c>
      <c r="B40" s="76">
        <v>84.098977486623539</v>
      </c>
    </row>
    <row r="41" spans="1:2" x14ac:dyDescent="0.3">
      <c r="A41" s="2" t="s">
        <v>152</v>
      </c>
      <c r="B41" s="76">
        <v>111.87330311452482</v>
      </c>
    </row>
    <row r="42" spans="1:2" x14ac:dyDescent="0.3">
      <c r="A42" s="2" t="s">
        <v>152</v>
      </c>
      <c r="B42" s="76">
        <v>67.713538232431915</v>
      </c>
    </row>
    <row r="43" spans="1:2" x14ac:dyDescent="0.3">
      <c r="A43" s="2" t="s">
        <v>152</v>
      </c>
      <c r="B43" s="76">
        <v>102.67781571633475</v>
      </c>
    </row>
    <row r="44" spans="1:2" x14ac:dyDescent="0.3">
      <c r="A44" s="2" t="s">
        <v>152</v>
      </c>
      <c r="B44" s="76">
        <v>76.384904972719994</v>
      </c>
    </row>
    <row r="45" spans="1:2" x14ac:dyDescent="0.3">
      <c r="A45" s="2" t="s">
        <v>152</v>
      </c>
      <c r="B45" s="76">
        <v>153.55053951044977</v>
      </c>
    </row>
    <row r="46" spans="1:2" x14ac:dyDescent="0.3">
      <c r="A46" s="2" t="s">
        <v>152</v>
      </c>
      <c r="B46" s="76">
        <v>348.35116489607253</v>
      </c>
    </row>
    <row r="47" spans="1:2" x14ac:dyDescent="0.3">
      <c r="A47" s="2" t="s">
        <v>152</v>
      </c>
      <c r="B47" s="76">
        <v>237.54972955356067</v>
      </c>
    </row>
    <row r="48" spans="1:2" x14ac:dyDescent="0.3">
      <c r="A48" s="2" t="s">
        <v>152</v>
      </c>
      <c r="B48" s="76">
        <v>90.596133738718223</v>
      </c>
    </row>
    <row r="49" spans="1:2" x14ac:dyDescent="0.3">
      <c r="A49" s="2" t="s">
        <v>152</v>
      </c>
      <c r="B49" s="76">
        <v>158.16214501221418</v>
      </c>
    </row>
    <row r="50" spans="1:2" x14ac:dyDescent="0.3">
      <c r="A50" s="2" t="s">
        <v>152</v>
      </c>
      <c r="B50" s="76">
        <v>49.877492892342957</v>
      </c>
    </row>
    <row r="51" spans="1:2" x14ac:dyDescent="0.3">
      <c r="A51" s="2" t="s">
        <v>152</v>
      </c>
      <c r="B51" s="76">
        <v>228.72511727018087</v>
      </c>
    </row>
    <row r="52" spans="1:2" x14ac:dyDescent="0.3">
      <c r="A52" s="2" t="s">
        <v>152</v>
      </c>
      <c r="B52" s="76">
        <v>265.24682097801775</v>
      </c>
    </row>
    <row r="53" spans="1:2" x14ac:dyDescent="0.3">
      <c r="A53" s="2" t="s">
        <v>152</v>
      </c>
      <c r="B53" s="76">
        <v>170.05442589514973</v>
      </c>
    </row>
    <row r="54" spans="1:2" x14ac:dyDescent="0.3">
      <c r="A54" s="2" t="s">
        <v>152</v>
      </c>
      <c r="B54" s="76">
        <v>48.72789795466781</v>
      </c>
    </row>
    <row r="55" spans="1:2" x14ac:dyDescent="0.3">
      <c r="A55" s="2" t="s">
        <v>152</v>
      </c>
      <c r="B55" s="76">
        <v>515.48411032134572</v>
      </c>
    </row>
    <row r="56" spans="1:2" x14ac:dyDescent="0.3">
      <c r="A56" s="2" t="s">
        <v>152</v>
      </c>
      <c r="B56" s="76">
        <v>379.13986213078118</v>
      </c>
    </row>
    <row r="57" spans="1:2" x14ac:dyDescent="0.3">
      <c r="A57" s="2" t="s">
        <v>152</v>
      </c>
      <c r="B57" s="76">
        <v>135.92162636039748</v>
      </c>
    </row>
    <row r="58" spans="1:2" x14ac:dyDescent="0.3">
      <c r="A58" s="2" t="s">
        <v>152</v>
      </c>
      <c r="B58" s="76">
        <v>104.93165759382907</v>
      </c>
    </row>
    <row r="59" spans="1:2" x14ac:dyDescent="0.3">
      <c r="A59" s="2" t="s">
        <v>152</v>
      </c>
      <c r="B59" s="76">
        <v>46.47714204591221</v>
      </c>
    </row>
    <row r="60" spans="1:2" x14ac:dyDescent="0.3">
      <c r="A60" s="2" t="s">
        <v>152</v>
      </c>
      <c r="B60" s="76">
        <v>748.78336783576844</v>
      </c>
    </row>
    <row r="61" spans="1:2" x14ac:dyDescent="0.3">
      <c r="A61" s="2" t="s">
        <v>152</v>
      </c>
      <c r="B61" s="76">
        <v>673.74284974385387</v>
      </c>
    </row>
    <row r="62" spans="1:2" x14ac:dyDescent="0.3">
      <c r="A62" s="2" t="s">
        <v>152</v>
      </c>
      <c r="B62" s="76">
        <v>42.16712682704506</v>
      </c>
    </row>
    <row r="63" spans="1:2" x14ac:dyDescent="0.3">
      <c r="A63" s="2" t="s">
        <v>152</v>
      </c>
      <c r="B63" s="76">
        <v>389.21485654286295</v>
      </c>
    </row>
    <row r="64" spans="1:2" x14ac:dyDescent="0.3">
      <c r="A64" s="2" t="s">
        <v>152</v>
      </c>
      <c r="B64" s="76">
        <v>47.594474183359388</v>
      </c>
    </row>
    <row r="65" spans="1:2" x14ac:dyDescent="0.3">
      <c r="A65" s="2" t="s">
        <v>152</v>
      </c>
      <c r="B65" s="76">
        <v>52.225512674589233</v>
      </c>
    </row>
    <row r="66" spans="1:2" x14ac:dyDescent="0.3">
      <c r="A66" s="2" t="s">
        <v>152</v>
      </c>
      <c r="B66" s="76">
        <v>44.290432787059352</v>
      </c>
    </row>
    <row r="67" spans="1:2" x14ac:dyDescent="0.3">
      <c r="A67" s="2" t="s">
        <v>152</v>
      </c>
      <c r="B67" s="76">
        <v>135.92162636039748</v>
      </c>
    </row>
    <row r="68" spans="1:2" x14ac:dyDescent="0.3">
      <c r="A68" s="2" t="s">
        <v>152</v>
      </c>
      <c r="B68" s="76">
        <v>99.518931736208486</v>
      </c>
    </row>
    <row r="69" spans="1:2" x14ac:dyDescent="0.3">
      <c r="A69" s="2" t="s">
        <v>152</v>
      </c>
      <c r="B69" s="76">
        <v>63.612743766664323</v>
      </c>
    </row>
    <row r="70" spans="1:2" x14ac:dyDescent="0.3">
      <c r="A70" s="2" t="s">
        <v>152</v>
      </c>
      <c r="B70" s="76">
        <v>45.375821659690011</v>
      </c>
    </row>
    <row r="71" spans="1:2" x14ac:dyDescent="0.3">
      <c r="A71" s="2" t="s">
        <v>152</v>
      </c>
      <c r="B71" s="76">
        <v>165.34413260980006</v>
      </c>
    </row>
    <row r="72" spans="1:2" x14ac:dyDescent="0.3">
      <c r="A72" s="2" t="s">
        <v>152</v>
      </c>
      <c r="B72" s="76">
        <v>83.607522935675775</v>
      </c>
    </row>
    <row r="73" spans="1:2" x14ac:dyDescent="0.3">
      <c r="A73" s="2" t="s">
        <v>152</v>
      </c>
      <c r="B73" s="76">
        <v>123.78141587232679</v>
      </c>
    </row>
    <row r="74" spans="1:2" x14ac:dyDescent="0.3">
      <c r="A74" s="2" t="s">
        <v>152</v>
      </c>
      <c r="B74" s="76">
        <v>184.48123767811001</v>
      </c>
    </row>
    <row r="75" spans="1:2" x14ac:dyDescent="0.3">
      <c r="A75" s="2" t="s">
        <v>152</v>
      </c>
      <c r="B75" s="76">
        <v>44.290432787059352</v>
      </c>
    </row>
    <row r="76" spans="1:2" x14ac:dyDescent="0.3">
      <c r="A76" s="2" t="s">
        <v>152</v>
      </c>
      <c r="B76" s="76">
        <v>109.99598540047349</v>
      </c>
    </row>
    <row r="77" spans="1:2" x14ac:dyDescent="0.3">
      <c r="A77" s="2" t="s">
        <v>152</v>
      </c>
      <c r="B77" s="76">
        <v>140.20726290139211</v>
      </c>
    </row>
    <row r="78" spans="1:2" x14ac:dyDescent="0.3">
      <c r="A78" s="2" t="s">
        <v>152</v>
      </c>
      <c r="B78" s="76">
        <v>125.55722142341924</v>
      </c>
    </row>
    <row r="79" spans="1:2" x14ac:dyDescent="0.3">
      <c r="A79" s="2" t="s">
        <v>152</v>
      </c>
      <c r="B79" s="76">
        <v>43.220894830407985</v>
      </c>
    </row>
    <row r="80" spans="1:2" x14ac:dyDescent="0.3">
      <c r="A80" s="2" t="s">
        <v>152</v>
      </c>
      <c r="B80" s="76">
        <v>77.891892706831428</v>
      </c>
    </row>
    <row r="81" spans="1:2" x14ac:dyDescent="0.3">
      <c r="A81" s="2" t="s">
        <v>152</v>
      </c>
      <c r="B81" s="76">
        <v>214.46377803854753</v>
      </c>
    </row>
    <row r="82" spans="1:2" x14ac:dyDescent="0.3">
      <c r="A82" s="2" t="s">
        <v>152</v>
      </c>
      <c r="B82" s="76">
        <v>70.533901748511354</v>
      </c>
    </row>
    <row r="83" spans="1:2" x14ac:dyDescent="0.3">
      <c r="A83" s="2" t="s">
        <v>152</v>
      </c>
      <c r="B83" s="76">
        <v>187.58783357846065</v>
      </c>
    </row>
    <row r="84" spans="1:2" x14ac:dyDescent="0.3">
      <c r="A84" s="2" t="s">
        <v>152</v>
      </c>
      <c r="B84" s="76">
        <v>46.47714204591221</v>
      </c>
    </row>
    <row r="85" spans="1:2" x14ac:dyDescent="0.3">
      <c r="A85" s="2" t="s">
        <v>152</v>
      </c>
      <c r="B85" s="76">
        <v>53.424094875784782</v>
      </c>
    </row>
    <row r="86" spans="1:2" x14ac:dyDescent="0.3">
      <c r="A86" s="2" t="s">
        <v>152</v>
      </c>
      <c r="B86" s="76">
        <v>73.844795109259877</v>
      </c>
    </row>
    <row r="87" spans="1:2" x14ac:dyDescent="0.3">
      <c r="A87" s="2" t="s">
        <v>152</v>
      </c>
      <c r="B87" s="76">
        <v>69.115020167033279</v>
      </c>
    </row>
    <row r="88" spans="1:2" x14ac:dyDescent="0.3">
      <c r="A88" s="2" t="s">
        <v>152</v>
      </c>
      <c r="B88" s="76">
        <v>77.891892706831428</v>
      </c>
    </row>
    <row r="89" spans="1:2" x14ac:dyDescent="0.3">
      <c r="A89" s="2" t="s">
        <v>152</v>
      </c>
      <c r="B89" s="76">
        <v>74.895685278979826</v>
      </c>
    </row>
    <row r="90" spans="1:2" x14ac:dyDescent="0.3">
      <c r="A90" s="2" t="s">
        <v>152</v>
      </c>
      <c r="B90" s="76">
        <v>90.596133738718223</v>
      </c>
    </row>
    <row r="91" spans="1:2" x14ac:dyDescent="0.3">
      <c r="A91" s="2" t="s">
        <v>152</v>
      </c>
      <c r="B91" s="76">
        <v>102.67781571633475</v>
      </c>
    </row>
    <row r="92" spans="1:2" x14ac:dyDescent="0.3">
      <c r="A92" s="2" t="s">
        <v>152</v>
      </c>
      <c r="B92" s="76">
        <v>261.0559118175932</v>
      </c>
    </row>
    <row r="93" spans="1:2" x14ac:dyDescent="0.3">
      <c r="A93" s="2" t="s">
        <v>152</v>
      </c>
      <c r="B93" s="76">
        <v>99.426878853795031</v>
      </c>
    </row>
    <row r="94" spans="1:2" x14ac:dyDescent="0.3">
      <c r="A94" s="2" t="s">
        <v>152</v>
      </c>
      <c r="B94" s="76">
        <v>468.48175851864397</v>
      </c>
    </row>
    <row r="95" spans="1:2" x14ac:dyDescent="0.3">
      <c r="A95" s="2" t="s">
        <v>152</v>
      </c>
      <c r="B95" s="76">
        <v>69.763878825859038</v>
      </c>
    </row>
    <row r="96" spans="1:2" x14ac:dyDescent="0.3">
      <c r="A96" s="2" t="s">
        <v>152</v>
      </c>
      <c r="B96" s="76">
        <v>162.85652878990595</v>
      </c>
    </row>
    <row r="97" spans="1:2" x14ac:dyDescent="0.3">
      <c r="A97" s="2" t="s">
        <v>152</v>
      </c>
      <c r="B97" s="76">
        <v>481.17657826855759</v>
      </c>
    </row>
    <row r="98" spans="1:2" x14ac:dyDescent="0.3">
      <c r="A98" s="2" t="s">
        <v>152</v>
      </c>
      <c r="B98" s="76">
        <v>42.16712682704506</v>
      </c>
    </row>
    <row r="99" spans="1:2" x14ac:dyDescent="0.3">
      <c r="A99" s="2" t="s">
        <v>152</v>
      </c>
      <c r="B99" s="76">
        <v>104.47883005194718</v>
      </c>
    </row>
    <row r="100" spans="1:2" x14ac:dyDescent="0.3">
      <c r="A100" s="2" t="s">
        <v>152</v>
      </c>
      <c r="B100" s="76">
        <v>49.877492892342957</v>
      </c>
    </row>
    <row r="101" spans="1:2" x14ac:dyDescent="0.3">
      <c r="A101" s="2" t="s">
        <v>152</v>
      </c>
      <c r="B101" s="76">
        <v>73.424160491296121</v>
      </c>
    </row>
    <row r="102" spans="1:2" x14ac:dyDescent="0.3">
      <c r="A102" s="2" t="s">
        <v>152</v>
      </c>
      <c r="B102" s="76">
        <v>87.311010340975002</v>
      </c>
    </row>
    <row r="103" spans="1:2" x14ac:dyDescent="0.3">
      <c r="A103" s="2" t="s">
        <v>152</v>
      </c>
      <c r="B103" s="76">
        <v>46.47714204591221</v>
      </c>
    </row>
    <row r="104" spans="1:2" x14ac:dyDescent="0.3">
      <c r="A104" s="2" t="s">
        <v>152</v>
      </c>
      <c r="B104" s="76">
        <v>90.596133738718223</v>
      </c>
    </row>
    <row r="105" spans="1:2" x14ac:dyDescent="0.3">
      <c r="A105" s="2" t="s">
        <v>152</v>
      </c>
      <c r="B105" s="76">
        <v>64.962474973218548</v>
      </c>
    </row>
    <row r="106" spans="1:2" x14ac:dyDescent="0.3">
      <c r="A106" s="2" t="s">
        <v>152</v>
      </c>
      <c r="B106" s="76">
        <v>552.51722213904952</v>
      </c>
    </row>
    <row r="107" spans="1:2" x14ac:dyDescent="0.3">
      <c r="A107" s="2" t="s">
        <v>152</v>
      </c>
      <c r="B107" s="76">
        <v>155.84602688297298</v>
      </c>
    </row>
    <row r="108" spans="1:2" x14ac:dyDescent="0.3">
      <c r="A108" s="2" t="s">
        <v>152</v>
      </c>
      <c r="B108" s="76">
        <v>160.49895775400125</v>
      </c>
    </row>
    <row r="109" spans="1:2" x14ac:dyDescent="0.3">
      <c r="A109" s="2" t="s">
        <v>152</v>
      </c>
      <c r="B109" s="76">
        <v>185.01921441982611</v>
      </c>
    </row>
    <row r="110" spans="1:2" x14ac:dyDescent="0.3">
      <c r="A110" s="2" t="s">
        <v>152</v>
      </c>
      <c r="B110" s="76">
        <v>71.97025720631224</v>
      </c>
    </row>
    <row r="111" spans="1:2" x14ac:dyDescent="0.3">
      <c r="A111" s="2" t="s">
        <v>152</v>
      </c>
      <c r="B111" s="76">
        <v>472.09308233065354</v>
      </c>
    </row>
    <row r="112" spans="1:2" x14ac:dyDescent="0.3">
      <c r="A112" s="2" t="s">
        <v>152</v>
      </c>
      <c r="B112" s="76">
        <v>458.6884902777303</v>
      </c>
    </row>
    <row r="113" spans="1:2" x14ac:dyDescent="0.3">
      <c r="A113" s="2" t="s">
        <v>152</v>
      </c>
      <c r="B113" s="76">
        <v>84.098977486623539</v>
      </c>
    </row>
    <row r="114" spans="1:2" x14ac:dyDescent="0.3">
      <c r="A114" s="2" t="s">
        <v>152</v>
      </c>
      <c r="B114" s="76">
        <v>182.47198110230858</v>
      </c>
    </row>
    <row r="115" spans="1:2" x14ac:dyDescent="0.3">
      <c r="A115" s="2" t="s">
        <v>152</v>
      </c>
      <c r="B115" s="76">
        <v>88.94440014742446</v>
      </c>
    </row>
    <row r="116" spans="1:2" x14ac:dyDescent="0.3">
      <c r="A116" s="2" t="s">
        <v>152</v>
      </c>
      <c r="B116" s="76">
        <v>92.266281958862521</v>
      </c>
    </row>
    <row r="117" spans="1:2" x14ac:dyDescent="0.3">
      <c r="A117" s="2" t="s">
        <v>152</v>
      </c>
      <c r="B117" s="76">
        <v>170.05442589514973</v>
      </c>
    </row>
    <row r="118" spans="1:2" x14ac:dyDescent="0.3">
      <c r="A118" s="2" t="s">
        <v>152</v>
      </c>
      <c r="B118" s="76">
        <v>820.64840210087539</v>
      </c>
    </row>
    <row r="119" spans="1:2" x14ac:dyDescent="0.3">
      <c r="A119" s="2" t="s">
        <v>152</v>
      </c>
      <c r="B119" s="76">
        <v>544.66285394282977</v>
      </c>
    </row>
    <row r="120" spans="1:2" x14ac:dyDescent="0.3">
      <c r="A120" s="2" t="s">
        <v>152</v>
      </c>
      <c r="B120" s="76">
        <v>48.72789795466781</v>
      </c>
    </row>
    <row r="121" spans="1:2" x14ac:dyDescent="0.3">
      <c r="A121" s="2" t="s">
        <v>152</v>
      </c>
      <c r="B121" s="76">
        <v>271.65391748539332</v>
      </c>
    </row>
    <row r="122" spans="1:2" x14ac:dyDescent="0.3">
      <c r="A122" s="2" t="s">
        <v>152</v>
      </c>
      <c r="B122" s="76">
        <v>62.280112436143334</v>
      </c>
    </row>
    <row r="123" spans="1:2" x14ac:dyDescent="0.3">
      <c r="A123" s="2" t="s">
        <v>152</v>
      </c>
      <c r="B123" s="76">
        <v>51.043338183515544</v>
      </c>
    </row>
    <row r="124" spans="1:2" x14ac:dyDescent="0.3">
      <c r="A124" s="2" t="s">
        <v>152</v>
      </c>
      <c r="B124" s="76">
        <v>57.119067892186884</v>
      </c>
    </row>
    <row r="125" spans="1:2" x14ac:dyDescent="0.3">
      <c r="A125" s="2" t="s">
        <v>152</v>
      </c>
      <c r="B125" s="76">
        <v>45.375821659690011</v>
      </c>
    </row>
    <row r="126" spans="1:2" x14ac:dyDescent="0.3">
      <c r="A126" s="2" t="s">
        <v>152</v>
      </c>
      <c r="B126" s="76">
        <v>142.38031665600735</v>
      </c>
    </row>
    <row r="127" spans="1:2" x14ac:dyDescent="0.3">
      <c r="A127" s="2" t="s">
        <v>152</v>
      </c>
      <c r="B127" s="76">
        <v>391.09421914374781</v>
      </c>
    </row>
    <row r="128" spans="1:2" x14ac:dyDescent="0.3">
      <c r="A128" s="2" t="s">
        <v>152</v>
      </c>
      <c r="B128" s="76">
        <v>572.56083746634545</v>
      </c>
    </row>
    <row r="129" spans="1:2" x14ac:dyDescent="0.3">
      <c r="A129" s="2" t="s">
        <v>152</v>
      </c>
      <c r="B129" s="76">
        <v>60.964505308279705</v>
      </c>
    </row>
    <row r="130" spans="1:2" x14ac:dyDescent="0.3">
      <c r="A130" s="2" t="s">
        <v>152</v>
      </c>
      <c r="B130" s="76">
        <v>803.56569838652558</v>
      </c>
    </row>
    <row r="131" spans="1:2" x14ac:dyDescent="0.3">
      <c r="A131" s="2" t="s">
        <v>152</v>
      </c>
      <c r="B131" s="76">
        <v>1222.5917375460801</v>
      </c>
    </row>
    <row r="132" spans="1:2" x14ac:dyDescent="0.3">
      <c r="A132" s="2" t="s">
        <v>152</v>
      </c>
      <c r="B132" s="76">
        <v>1926.4590143327539</v>
      </c>
    </row>
    <row r="133" spans="1:2" x14ac:dyDescent="0.3">
      <c r="A133" s="2" t="s">
        <v>152</v>
      </c>
      <c r="B133" s="76">
        <v>619.24894597258606</v>
      </c>
    </row>
    <row r="134" spans="1:2" x14ac:dyDescent="0.3">
      <c r="A134" s="2" t="s">
        <v>152</v>
      </c>
      <c r="B134" s="76">
        <v>252.70890714773958</v>
      </c>
    </row>
    <row r="135" spans="1:2" x14ac:dyDescent="0.3">
      <c r="A135" s="2" t="s">
        <v>152</v>
      </c>
      <c r="B135" s="76">
        <v>954.35010983835559</v>
      </c>
    </row>
    <row r="136" spans="1:2" x14ac:dyDescent="0.3">
      <c r="A136" s="2" t="s">
        <v>152</v>
      </c>
      <c r="B136" s="76">
        <v>490.33042722669046</v>
      </c>
    </row>
    <row r="137" spans="1:2" x14ac:dyDescent="0.3">
      <c r="A137" s="2" t="s">
        <v>152</v>
      </c>
      <c r="B137" s="76">
        <v>69.115020167033279</v>
      </c>
    </row>
    <row r="138" spans="1:2" x14ac:dyDescent="0.3">
      <c r="A138" s="2" t="s">
        <v>152</v>
      </c>
      <c r="B138" s="76">
        <v>140.20726290139211</v>
      </c>
    </row>
    <row r="139" spans="1:2" x14ac:dyDescent="0.3">
      <c r="A139" s="2" t="s">
        <v>152</v>
      </c>
      <c r="B139" s="76">
        <v>547.57368008803201</v>
      </c>
    </row>
    <row r="140" spans="1:2" x14ac:dyDescent="0.3">
      <c r="A140" s="2" t="s">
        <v>152</v>
      </c>
      <c r="B140" s="76">
        <v>60.964505308279705</v>
      </c>
    </row>
    <row r="141" spans="1:2" x14ac:dyDescent="0.3">
      <c r="A141" s="2" t="s">
        <v>152</v>
      </c>
      <c r="B141" s="76">
        <v>92.266281958862521</v>
      </c>
    </row>
    <row r="142" spans="1:2" x14ac:dyDescent="0.3">
      <c r="A142" s="2" t="s">
        <v>152</v>
      </c>
      <c r="B142" s="76">
        <v>268.43880929815509</v>
      </c>
    </row>
    <row r="143" spans="1:2" x14ac:dyDescent="0.3">
      <c r="A143" s="2" t="s">
        <v>152</v>
      </c>
      <c r="B143" s="76">
        <v>73.424160491296121</v>
      </c>
    </row>
    <row r="144" spans="1:2" x14ac:dyDescent="0.3">
      <c r="A144" s="2" t="s">
        <v>152</v>
      </c>
      <c r="B144" s="76">
        <v>1024.8514090609008</v>
      </c>
    </row>
    <row r="145" spans="1:2" x14ac:dyDescent="0.3">
      <c r="A145" s="2" t="s">
        <v>152</v>
      </c>
      <c r="B145" s="76">
        <v>315.58033049966701</v>
      </c>
    </row>
    <row r="146" spans="1:2" x14ac:dyDescent="0.3">
      <c r="A146" s="2" t="s">
        <v>152</v>
      </c>
      <c r="B146" s="76">
        <v>835.01625028761657</v>
      </c>
    </row>
    <row r="147" spans="1:2" x14ac:dyDescent="0.3">
      <c r="A147" s="2" t="s">
        <v>152</v>
      </c>
      <c r="B147" s="76">
        <v>557.48765844031743</v>
      </c>
    </row>
    <row r="148" spans="1:2" x14ac:dyDescent="0.3">
      <c r="A148" s="2" t="s">
        <v>152</v>
      </c>
      <c r="B148" s="76">
        <v>167.63419960794138</v>
      </c>
    </row>
    <row r="149" spans="1:2" x14ac:dyDescent="0.3">
      <c r="A149" s="2" t="s">
        <v>152</v>
      </c>
      <c r="B149" s="76">
        <v>1003.3816686288121</v>
      </c>
    </row>
    <row r="150" spans="1:2" x14ac:dyDescent="0.3">
      <c r="A150" s="2" t="s">
        <v>152</v>
      </c>
      <c r="B150" s="76">
        <v>60.964505308279705</v>
      </c>
    </row>
    <row r="151" spans="1:2" x14ac:dyDescent="0.3">
      <c r="A151" s="2" t="s">
        <v>152</v>
      </c>
      <c r="B151" s="76">
        <v>60.964505308279705</v>
      </c>
    </row>
    <row r="152" spans="1:2" x14ac:dyDescent="0.3">
      <c r="A152" s="2" t="s">
        <v>152</v>
      </c>
      <c r="B152" s="76">
        <v>85.695893231898594</v>
      </c>
    </row>
    <row r="153" spans="1:2" x14ac:dyDescent="0.3">
      <c r="A153" s="2" t="s">
        <v>152</v>
      </c>
      <c r="B153" s="76">
        <v>317.20693119078538</v>
      </c>
    </row>
    <row r="154" spans="1:2" x14ac:dyDescent="0.3">
      <c r="A154" s="2" t="s">
        <v>152</v>
      </c>
      <c r="B154" s="76">
        <v>44.290432787059352</v>
      </c>
    </row>
    <row r="155" spans="1:2" x14ac:dyDescent="0.3">
      <c r="A155" s="2" t="s">
        <v>152</v>
      </c>
      <c r="B155" s="76">
        <v>198.07740342365784</v>
      </c>
    </row>
    <row r="156" spans="1:2" x14ac:dyDescent="0.3">
      <c r="A156" s="2" t="s">
        <v>152</v>
      </c>
      <c r="B156" s="76">
        <v>441.17757754928721</v>
      </c>
    </row>
    <row r="157" spans="1:2" x14ac:dyDescent="0.3">
      <c r="A157" s="2" t="s">
        <v>152</v>
      </c>
      <c r="B157" s="76">
        <v>102.67781571633475</v>
      </c>
    </row>
    <row r="158" spans="1:2" x14ac:dyDescent="0.3">
      <c r="A158" s="2" t="s">
        <v>152</v>
      </c>
      <c r="B158" s="76">
        <v>415.67982235783069</v>
      </c>
    </row>
    <row r="159" spans="1:2" x14ac:dyDescent="0.3">
      <c r="A159" s="2" t="s">
        <v>152</v>
      </c>
      <c r="B159" s="76">
        <v>458.6884902777303</v>
      </c>
    </row>
    <row r="160" spans="1:2" x14ac:dyDescent="0.3">
      <c r="A160" s="2" t="s">
        <v>152</v>
      </c>
      <c r="B160" s="76">
        <v>228.72511727018087</v>
      </c>
    </row>
    <row r="161" spans="1:2" x14ac:dyDescent="0.3">
      <c r="A161" s="2" t="s">
        <v>152</v>
      </c>
      <c r="B161" s="76">
        <v>251.04635497292819</v>
      </c>
    </row>
    <row r="162" spans="1:2" x14ac:dyDescent="0.3">
      <c r="A162" s="2" t="s">
        <v>152</v>
      </c>
      <c r="B162" s="76">
        <v>870.60141389801379</v>
      </c>
    </row>
    <row r="163" spans="1:2" x14ac:dyDescent="0.3">
      <c r="A163" s="2" t="s">
        <v>152</v>
      </c>
      <c r="B163" s="76">
        <v>339.53357241175394</v>
      </c>
    </row>
    <row r="164" spans="1:2" x14ac:dyDescent="0.3">
      <c r="A164" s="2" t="s">
        <v>152</v>
      </c>
      <c r="B164" s="76">
        <v>679.34562771356741</v>
      </c>
    </row>
    <row r="165" spans="1:2" x14ac:dyDescent="0.3">
      <c r="A165" s="2" t="s">
        <v>152</v>
      </c>
      <c r="B165" s="76">
        <v>305.08923162346167</v>
      </c>
    </row>
    <row r="166" spans="1:2" x14ac:dyDescent="0.3">
      <c r="A166" s="2" t="s">
        <v>152</v>
      </c>
      <c r="B166" s="76">
        <v>391.09421914374781</v>
      </c>
    </row>
    <row r="167" spans="1:2" x14ac:dyDescent="0.3">
      <c r="A167" s="2" t="s">
        <v>152</v>
      </c>
      <c r="B167" s="76">
        <v>1346.3898790604949</v>
      </c>
    </row>
    <row r="168" spans="1:2" x14ac:dyDescent="0.3">
      <c r="A168" s="2" t="s">
        <v>152</v>
      </c>
      <c r="B168" s="76">
        <v>123.54375848971559</v>
      </c>
    </row>
    <row r="169" spans="1:2" x14ac:dyDescent="0.3">
      <c r="A169" s="2" t="s">
        <v>152</v>
      </c>
      <c r="B169" s="76">
        <v>100.8957053124434</v>
      </c>
    </row>
    <row r="170" spans="1:2" x14ac:dyDescent="0.3">
      <c r="A170" s="2" t="s">
        <v>152</v>
      </c>
      <c r="B170" s="76">
        <v>133.80891277392826</v>
      </c>
    </row>
    <row r="171" spans="1:2" x14ac:dyDescent="0.3">
      <c r="A171" s="2" t="s">
        <v>152</v>
      </c>
      <c r="B171" s="76">
        <v>165.23492162872634</v>
      </c>
    </row>
    <row r="172" spans="1:2" x14ac:dyDescent="0.3">
      <c r="A172" s="2" t="s">
        <v>152</v>
      </c>
      <c r="B172" s="76">
        <v>2473.820141394564</v>
      </c>
    </row>
    <row r="173" spans="1:2" x14ac:dyDescent="0.3">
      <c r="A173" s="2" t="s">
        <v>152</v>
      </c>
      <c r="B173" s="76">
        <v>657.10253298059672</v>
      </c>
    </row>
    <row r="174" spans="1:2" x14ac:dyDescent="0.3">
      <c r="A174" s="2" t="s">
        <v>152</v>
      </c>
      <c r="B174" s="76">
        <v>274.89220327557751</v>
      </c>
    </row>
    <row r="175" spans="1:2" x14ac:dyDescent="0.3">
      <c r="A175" s="2" t="s">
        <v>152</v>
      </c>
      <c r="B175" s="76">
        <v>145.37714243119657</v>
      </c>
    </row>
    <row r="176" spans="1:2" x14ac:dyDescent="0.3">
      <c r="A176" s="2" t="s">
        <v>152</v>
      </c>
      <c r="B176" s="76">
        <v>167.63419960794138</v>
      </c>
    </row>
    <row r="177" spans="1:2" x14ac:dyDescent="0.3">
      <c r="A177" s="2" t="s">
        <v>152</v>
      </c>
      <c r="B177" s="76">
        <v>505.05118260350798</v>
      </c>
    </row>
    <row r="178" spans="1:2" x14ac:dyDescent="0.3">
      <c r="A178" s="2" t="s">
        <v>152</v>
      </c>
      <c r="B178" s="76">
        <v>100.23755576314639</v>
      </c>
    </row>
    <row r="179" spans="1:2" x14ac:dyDescent="0.3">
      <c r="A179" s="2" t="s">
        <v>152</v>
      </c>
      <c r="B179" s="76">
        <v>62.280112436143334</v>
      </c>
    </row>
    <row r="180" spans="1:2" x14ac:dyDescent="0.3">
      <c r="A180" s="2" t="s">
        <v>153</v>
      </c>
      <c r="B180" s="76">
        <v>44.689068723234925</v>
      </c>
    </row>
    <row r="181" spans="1:2" x14ac:dyDescent="0.3">
      <c r="A181" s="2" t="s">
        <v>153</v>
      </c>
      <c r="B181" s="76">
        <v>397.68946981350473</v>
      </c>
    </row>
    <row r="182" spans="1:2" x14ac:dyDescent="0.3">
      <c r="A182" s="2" t="s">
        <v>153</v>
      </c>
      <c r="B182" s="76">
        <v>634.58547533065916</v>
      </c>
    </row>
    <row r="183" spans="1:2" x14ac:dyDescent="0.3">
      <c r="A183" s="2" t="s">
        <v>153</v>
      </c>
      <c r="B183" s="76">
        <v>248.0635562800835</v>
      </c>
    </row>
    <row r="184" spans="1:2" x14ac:dyDescent="0.3">
      <c r="A184" s="2" t="s">
        <v>153</v>
      </c>
      <c r="B184" s="76">
        <v>88.514081045936805</v>
      </c>
    </row>
    <row r="185" spans="1:2" x14ac:dyDescent="0.3">
      <c r="A185" s="2" t="s">
        <v>153</v>
      </c>
      <c r="B185" s="76">
        <v>45.910129091726603</v>
      </c>
    </row>
    <row r="186" spans="1:2" x14ac:dyDescent="0.3">
      <c r="A186" s="2" t="s">
        <v>153</v>
      </c>
      <c r="B186" s="76">
        <v>21.723104442010996</v>
      </c>
    </row>
    <row r="187" spans="1:2" x14ac:dyDescent="0.3">
      <c r="A187" s="2" t="s">
        <v>153</v>
      </c>
      <c r="B187" s="76">
        <v>42.814707914337959</v>
      </c>
    </row>
    <row r="188" spans="1:2" x14ac:dyDescent="0.3">
      <c r="A188" s="2" t="s">
        <v>153</v>
      </c>
      <c r="B188" s="76">
        <v>64.439562374360008</v>
      </c>
    </row>
    <row r="189" spans="1:2" x14ac:dyDescent="0.3">
      <c r="A189" s="2" t="s">
        <v>153</v>
      </c>
      <c r="B189" s="76">
        <v>47.665923122393345</v>
      </c>
    </row>
    <row r="190" spans="1:2" x14ac:dyDescent="0.3">
      <c r="A190" s="2" t="s">
        <v>153</v>
      </c>
      <c r="B190" s="76">
        <v>23.255975580088041</v>
      </c>
    </row>
    <row r="191" spans="1:2" x14ac:dyDescent="0.3">
      <c r="A191" s="2" t="s">
        <v>153</v>
      </c>
      <c r="B191" s="76">
        <v>87.767019553705964</v>
      </c>
    </row>
    <row r="192" spans="1:2" x14ac:dyDescent="0.3">
      <c r="A192" s="2" t="s">
        <v>153</v>
      </c>
      <c r="B192" s="76">
        <v>136.60250515356253</v>
      </c>
    </row>
    <row r="193" spans="1:2" x14ac:dyDescent="0.3">
      <c r="A193" s="2" t="s">
        <v>153</v>
      </c>
      <c r="B193" s="76">
        <v>86.840005642575207</v>
      </c>
    </row>
    <row r="194" spans="1:2" x14ac:dyDescent="0.3">
      <c r="A194" s="2" t="s">
        <v>153</v>
      </c>
      <c r="B194" s="76">
        <v>64.857571218208847</v>
      </c>
    </row>
    <row r="195" spans="1:2" x14ac:dyDescent="0.3">
      <c r="A195" s="2" t="s">
        <v>153</v>
      </c>
      <c r="B195" s="76">
        <v>48.357453100469129</v>
      </c>
    </row>
    <row r="196" spans="1:2" x14ac:dyDescent="0.3">
      <c r="A196" s="2" t="s">
        <v>153</v>
      </c>
      <c r="B196" s="76">
        <v>164.48904158812033</v>
      </c>
    </row>
    <row r="197" spans="1:2" x14ac:dyDescent="0.3">
      <c r="A197" s="2" t="s">
        <v>153</v>
      </c>
      <c r="B197" s="76">
        <v>25.918800347020802</v>
      </c>
    </row>
    <row r="198" spans="1:2" x14ac:dyDescent="0.3">
      <c r="A198" s="2" t="s">
        <v>153</v>
      </c>
      <c r="B198" s="76">
        <v>57.749140557106642</v>
      </c>
    </row>
    <row r="199" spans="1:2" x14ac:dyDescent="0.3">
      <c r="A199" s="2" t="s">
        <v>153</v>
      </c>
      <c r="B199" s="76">
        <v>56.646529284036639</v>
      </c>
    </row>
    <row r="200" spans="1:2" x14ac:dyDescent="0.3">
      <c r="A200" s="2" t="s">
        <v>153</v>
      </c>
      <c r="B200" s="76">
        <v>43.972015168245861</v>
      </c>
    </row>
    <row r="201" spans="1:2" x14ac:dyDescent="0.3">
      <c r="A201" s="2" t="s">
        <v>153</v>
      </c>
      <c r="B201" s="76">
        <v>47.761387774507611</v>
      </c>
    </row>
    <row r="202" spans="1:2" x14ac:dyDescent="0.3">
      <c r="A202" s="2" t="s">
        <v>153</v>
      </c>
      <c r="B202" s="76">
        <v>42.976369993304075</v>
      </c>
    </row>
    <row r="203" spans="1:2" x14ac:dyDescent="0.3">
      <c r="A203" s="2" t="s">
        <v>153</v>
      </c>
      <c r="B203" s="76">
        <v>24.224291211193648</v>
      </c>
    </row>
    <row r="204" spans="1:2" x14ac:dyDescent="0.3">
      <c r="A204" s="2" t="s">
        <v>153</v>
      </c>
      <c r="B204" s="76">
        <v>54.835816821976017</v>
      </c>
    </row>
    <row r="205" spans="1:2" x14ac:dyDescent="0.3">
      <c r="A205" s="2" t="s">
        <v>153</v>
      </c>
      <c r="B205" s="76">
        <v>77.550062734419853</v>
      </c>
    </row>
    <row r="206" spans="1:2" x14ac:dyDescent="0.3">
      <c r="A206" s="2" t="s">
        <v>153</v>
      </c>
      <c r="B206" s="76">
        <v>57.701545722342907</v>
      </c>
    </row>
    <row r="207" spans="1:2" x14ac:dyDescent="0.3">
      <c r="A207" s="2" t="s">
        <v>153</v>
      </c>
      <c r="B207" s="76">
        <v>173.59158932450023</v>
      </c>
    </row>
    <row r="208" spans="1:2" x14ac:dyDescent="0.3">
      <c r="A208" s="2" t="s">
        <v>153</v>
      </c>
      <c r="B208" s="76">
        <v>209.54021616539788</v>
      </c>
    </row>
    <row r="209" spans="1:2" x14ac:dyDescent="0.3">
      <c r="A209" s="2" t="s">
        <v>153</v>
      </c>
      <c r="B209" s="76">
        <v>47.379812463008413</v>
      </c>
    </row>
    <row r="210" spans="1:2" x14ac:dyDescent="0.3">
      <c r="A210" s="2" t="s">
        <v>153</v>
      </c>
      <c r="B210" s="76">
        <v>28.424360108786871</v>
      </c>
    </row>
    <row r="211" spans="1:2" x14ac:dyDescent="0.3">
      <c r="A211" s="2" t="s">
        <v>153</v>
      </c>
      <c r="B211" s="76">
        <v>23.410072466227707</v>
      </c>
    </row>
    <row r="212" spans="1:2" x14ac:dyDescent="0.3">
      <c r="A212" s="2" t="s">
        <v>153</v>
      </c>
      <c r="B212" s="76">
        <v>169.9949713663205</v>
      </c>
    </row>
    <row r="213" spans="1:2" x14ac:dyDescent="0.3">
      <c r="A213" s="2" t="s">
        <v>153</v>
      </c>
      <c r="B213" s="76">
        <v>44.640065364320535</v>
      </c>
    </row>
    <row r="214" spans="1:2" x14ac:dyDescent="0.3">
      <c r="A214" s="2" t="s">
        <v>153</v>
      </c>
      <c r="B214" s="76">
        <v>158.2896177382413</v>
      </c>
    </row>
    <row r="215" spans="1:2" x14ac:dyDescent="0.3">
      <c r="A215" s="2" t="s">
        <v>153</v>
      </c>
      <c r="B215" s="76">
        <v>65.161290026948265</v>
      </c>
    </row>
    <row r="216" spans="1:2" x14ac:dyDescent="0.3">
      <c r="A216" s="2" t="s">
        <v>153</v>
      </c>
      <c r="B216" s="76">
        <v>37.152565918888499</v>
      </c>
    </row>
    <row r="217" spans="1:2" x14ac:dyDescent="0.3">
      <c r="A217" s="2" t="s">
        <v>153</v>
      </c>
      <c r="B217" s="76">
        <v>34.713435417794351</v>
      </c>
    </row>
    <row r="218" spans="1:2" x14ac:dyDescent="0.3">
      <c r="A218" s="2" t="s">
        <v>153</v>
      </c>
      <c r="B218" s="76">
        <v>33.939793484914127</v>
      </c>
    </row>
    <row r="219" spans="1:2" x14ac:dyDescent="0.3">
      <c r="A219" s="2" t="s">
        <v>153</v>
      </c>
      <c r="B219" s="76">
        <v>50.828592880773257</v>
      </c>
    </row>
    <row r="220" spans="1:2" x14ac:dyDescent="0.3">
      <c r="A220" s="2" t="s">
        <v>153</v>
      </c>
      <c r="B220" s="76">
        <v>30.19734714695657</v>
      </c>
    </row>
    <row r="221" spans="1:2" x14ac:dyDescent="0.3">
      <c r="A221" s="2" t="s">
        <v>153</v>
      </c>
      <c r="B221" s="76">
        <v>46.9660328480659</v>
      </c>
    </row>
    <row r="222" spans="1:2" x14ac:dyDescent="0.3">
      <c r="A222" s="2" t="s">
        <v>153</v>
      </c>
      <c r="B222" s="76">
        <v>42.119596727585318</v>
      </c>
    </row>
    <row r="223" spans="1:2" x14ac:dyDescent="0.3">
      <c r="A223" s="2" t="s">
        <v>153</v>
      </c>
      <c r="B223" s="76">
        <v>79.06057387607143</v>
      </c>
    </row>
    <row r="224" spans="1:2" x14ac:dyDescent="0.3">
      <c r="A224" s="2" t="s">
        <v>153</v>
      </c>
      <c r="B224" s="76">
        <v>180.52803799623268</v>
      </c>
    </row>
    <row r="225" spans="1:2" x14ac:dyDescent="0.3">
      <c r="A225" s="2" t="s">
        <v>153</v>
      </c>
      <c r="B225" s="76">
        <v>123.44929896716387</v>
      </c>
    </row>
    <row r="226" spans="1:2" x14ac:dyDescent="0.3">
      <c r="A226" s="2" t="s">
        <v>153</v>
      </c>
      <c r="B226" s="76">
        <v>43.002925492778104</v>
      </c>
    </row>
    <row r="227" spans="1:2" x14ac:dyDescent="0.3">
      <c r="A227" s="2" t="s">
        <v>153</v>
      </c>
      <c r="B227" s="76">
        <v>77.633738041434995</v>
      </c>
    </row>
    <row r="228" spans="1:2" x14ac:dyDescent="0.3">
      <c r="A228" s="2" t="s">
        <v>153</v>
      </c>
      <c r="B228" s="76">
        <v>22.003830290027128</v>
      </c>
    </row>
    <row r="229" spans="1:2" x14ac:dyDescent="0.3">
      <c r="A229" s="2" t="s">
        <v>153</v>
      </c>
      <c r="B229" s="76">
        <v>112.89134874571656</v>
      </c>
    </row>
    <row r="230" spans="1:2" x14ac:dyDescent="0.3">
      <c r="A230" s="2" t="s">
        <v>153</v>
      </c>
      <c r="B230" s="76">
        <v>110.50692931688381</v>
      </c>
    </row>
    <row r="231" spans="1:2" x14ac:dyDescent="0.3">
      <c r="A231" s="2" t="s">
        <v>153</v>
      </c>
      <c r="B231" s="76">
        <v>69.688248904067009</v>
      </c>
    </row>
    <row r="232" spans="1:2" x14ac:dyDescent="0.3">
      <c r="A232" s="2" t="s">
        <v>153</v>
      </c>
      <c r="B232" s="76">
        <v>18.158141890477101</v>
      </c>
    </row>
    <row r="233" spans="1:2" x14ac:dyDescent="0.3">
      <c r="A233" s="2" t="s">
        <v>153</v>
      </c>
      <c r="B233" s="76">
        <v>204.32692217667994</v>
      </c>
    </row>
    <row r="234" spans="1:2" x14ac:dyDescent="0.3">
      <c r="A234" s="2" t="s">
        <v>153</v>
      </c>
      <c r="B234" s="76">
        <v>158.73017425291636</v>
      </c>
    </row>
    <row r="235" spans="1:2" x14ac:dyDescent="0.3">
      <c r="A235" s="2" t="s">
        <v>153</v>
      </c>
      <c r="B235" s="76">
        <v>51.067085937229116</v>
      </c>
    </row>
    <row r="236" spans="1:2" x14ac:dyDescent="0.3">
      <c r="A236" s="2" t="s">
        <v>153</v>
      </c>
      <c r="B236" s="76">
        <v>41.369152616944206</v>
      </c>
    </row>
    <row r="237" spans="1:2" x14ac:dyDescent="0.3">
      <c r="A237" s="2" t="s">
        <v>153</v>
      </c>
      <c r="B237" s="76">
        <v>20.642872684543146</v>
      </c>
    </row>
    <row r="238" spans="1:2" x14ac:dyDescent="0.3">
      <c r="A238" s="2" t="s">
        <v>153</v>
      </c>
      <c r="B238" s="76">
        <v>336.34194402604152</v>
      </c>
    </row>
    <row r="239" spans="1:2" x14ac:dyDescent="0.3">
      <c r="A239" s="2" t="s">
        <v>153</v>
      </c>
      <c r="B239" s="76">
        <v>309.77604084621089</v>
      </c>
    </row>
    <row r="240" spans="1:2" x14ac:dyDescent="0.3">
      <c r="A240" s="2" t="s">
        <v>153</v>
      </c>
      <c r="B240" s="76">
        <v>18.294868016086973</v>
      </c>
    </row>
    <row r="241" spans="1:2" x14ac:dyDescent="0.3">
      <c r="A241" s="2" t="s">
        <v>153</v>
      </c>
      <c r="B241" s="76">
        <v>175.75063074369351</v>
      </c>
    </row>
    <row r="242" spans="1:2" x14ac:dyDescent="0.3">
      <c r="A242" s="2" t="s">
        <v>153</v>
      </c>
      <c r="B242" s="76">
        <v>16.279958168493696</v>
      </c>
    </row>
    <row r="243" spans="1:2" x14ac:dyDescent="0.3">
      <c r="A243" s="2" t="s">
        <v>153</v>
      </c>
      <c r="B243" s="76">
        <v>19.541332326060864</v>
      </c>
    </row>
    <row r="244" spans="1:2" x14ac:dyDescent="0.3">
      <c r="A244" s="2" t="s">
        <v>153</v>
      </c>
      <c r="B244" s="76">
        <v>17.393114268455061</v>
      </c>
    </row>
    <row r="245" spans="1:2" x14ac:dyDescent="0.3">
      <c r="A245" s="2" t="s">
        <v>153</v>
      </c>
      <c r="B245" s="76">
        <v>51.957831525000344</v>
      </c>
    </row>
    <row r="246" spans="1:2" x14ac:dyDescent="0.3">
      <c r="A246" s="2" t="s">
        <v>153</v>
      </c>
      <c r="B246" s="76">
        <v>35.952269993885672</v>
      </c>
    </row>
    <row r="247" spans="1:2" x14ac:dyDescent="0.3">
      <c r="A247" s="2" t="s">
        <v>153</v>
      </c>
      <c r="B247" s="76">
        <v>24.81588773521349</v>
      </c>
    </row>
    <row r="248" spans="1:2" x14ac:dyDescent="0.3">
      <c r="A248" s="2" t="s">
        <v>153</v>
      </c>
      <c r="B248" s="76">
        <v>13.799405149001611</v>
      </c>
    </row>
    <row r="249" spans="1:2" x14ac:dyDescent="0.3">
      <c r="A249" s="2" t="s">
        <v>153</v>
      </c>
      <c r="B249" s="76">
        <v>60.229822802077976</v>
      </c>
    </row>
    <row r="250" spans="1:2" x14ac:dyDescent="0.3">
      <c r="A250" s="2" t="s">
        <v>153</v>
      </c>
      <c r="B250" s="76">
        <v>32.496406025585827</v>
      </c>
    </row>
    <row r="251" spans="1:2" x14ac:dyDescent="0.3">
      <c r="A251" s="2" t="s">
        <v>153</v>
      </c>
      <c r="B251" s="76">
        <v>48.784568961924123</v>
      </c>
    </row>
    <row r="252" spans="1:2" x14ac:dyDescent="0.3">
      <c r="A252" s="2" t="s">
        <v>153</v>
      </c>
      <c r="B252" s="76">
        <v>65.251894092452588</v>
      </c>
    </row>
    <row r="253" spans="1:2" x14ac:dyDescent="0.3">
      <c r="A253" s="2" t="s">
        <v>153</v>
      </c>
      <c r="B253" s="76">
        <v>15.427344441112673</v>
      </c>
    </row>
    <row r="254" spans="1:2" x14ac:dyDescent="0.3">
      <c r="A254" s="2" t="s">
        <v>153</v>
      </c>
      <c r="B254" s="76">
        <v>43.295811826046453</v>
      </c>
    </row>
    <row r="255" spans="1:2" x14ac:dyDescent="0.3">
      <c r="A255" s="2" t="s">
        <v>153</v>
      </c>
      <c r="B255" s="76">
        <v>60.47773997265007</v>
      </c>
    </row>
    <row r="256" spans="1:2" x14ac:dyDescent="0.3">
      <c r="A256" s="2" t="s">
        <v>153</v>
      </c>
      <c r="B256" s="76">
        <v>53.19512257675742</v>
      </c>
    </row>
    <row r="257" spans="1:2" x14ac:dyDescent="0.3">
      <c r="A257" s="2" t="s">
        <v>153</v>
      </c>
      <c r="B257" s="76">
        <v>18.736217076044156</v>
      </c>
    </row>
    <row r="258" spans="1:2" x14ac:dyDescent="0.3">
      <c r="A258" s="2" t="s">
        <v>153</v>
      </c>
      <c r="B258" s="76">
        <v>35.278226863741374</v>
      </c>
    </row>
    <row r="259" spans="1:2" x14ac:dyDescent="0.3">
      <c r="A259" s="2" t="s">
        <v>153</v>
      </c>
      <c r="B259" s="76">
        <v>107.64177113140825</v>
      </c>
    </row>
    <row r="260" spans="1:2" x14ac:dyDescent="0.3">
      <c r="A260" s="2" t="s">
        <v>153</v>
      </c>
      <c r="B260" s="76">
        <v>31.148792090580091</v>
      </c>
    </row>
    <row r="261" spans="1:2" x14ac:dyDescent="0.3">
      <c r="A261" s="2" t="s">
        <v>153</v>
      </c>
      <c r="B261" s="76">
        <v>81.121811287526796</v>
      </c>
    </row>
    <row r="262" spans="1:2" x14ac:dyDescent="0.3">
      <c r="A262" s="2" t="s">
        <v>153</v>
      </c>
      <c r="B262" s="76">
        <v>17.900699655890886</v>
      </c>
    </row>
    <row r="263" spans="1:2" x14ac:dyDescent="0.3">
      <c r="A263" s="2" t="s">
        <v>153</v>
      </c>
      <c r="B263" s="76">
        <v>20.228474840287124</v>
      </c>
    </row>
    <row r="264" spans="1:2" x14ac:dyDescent="0.3">
      <c r="A264" s="2" t="s">
        <v>153</v>
      </c>
      <c r="B264" s="76">
        <v>28.660728509382317</v>
      </c>
    </row>
    <row r="265" spans="1:2" x14ac:dyDescent="0.3">
      <c r="A265" s="2" t="s">
        <v>153</v>
      </c>
      <c r="B265" s="76">
        <v>28.793749206298198</v>
      </c>
    </row>
    <row r="266" spans="1:2" x14ac:dyDescent="0.3">
      <c r="A266" s="2" t="s">
        <v>153</v>
      </c>
      <c r="B266" s="76">
        <v>33.693783470036891</v>
      </c>
    </row>
    <row r="267" spans="1:2" x14ac:dyDescent="0.3">
      <c r="A267" s="2" t="s">
        <v>153</v>
      </c>
      <c r="B267" s="76">
        <v>32.15322768293445</v>
      </c>
    </row>
    <row r="268" spans="1:2" x14ac:dyDescent="0.3">
      <c r="A268" s="2" t="s">
        <v>153</v>
      </c>
      <c r="B268" s="76">
        <v>35.116049661273735</v>
      </c>
    </row>
    <row r="269" spans="1:2" x14ac:dyDescent="0.3">
      <c r="A269" s="2" t="s">
        <v>153</v>
      </c>
      <c r="B269" s="76">
        <v>43.606570238836049</v>
      </c>
    </row>
    <row r="270" spans="1:2" x14ac:dyDescent="0.3">
      <c r="A270" s="2" t="s">
        <v>153</v>
      </c>
      <c r="B270" s="76">
        <v>90.638665729245702</v>
      </c>
    </row>
    <row r="271" spans="1:2" x14ac:dyDescent="0.3">
      <c r="A271" s="2" t="s">
        <v>153</v>
      </c>
      <c r="B271" s="76">
        <v>46.713518059013666</v>
      </c>
    </row>
    <row r="272" spans="1:2" x14ac:dyDescent="0.3">
      <c r="A272" s="2" t="s">
        <v>153</v>
      </c>
      <c r="B272" s="76">
        <v>240.94520938125982</v>
      </c>
    </row>
    <row r="273" spans="1:2" x14ac:dyDescent="0.3">
      <c r="A273" s="2" t="s">
        <v>153</v>
      </c>
      <c r="B273" s="76">
        <v>32.70008719576299</v>
      </c>
    </row>
    <row r="274" spans="1:2" x14ac:dyDescent="0.3">
      <c r="A274" s="2" t="s">
        <v>153</v>
      </c>
      <c r="B274" s="76">
        <v>77.334709965199011</v>
      </c>
    </row>
    <row r="275" spans="1:2" x14ac:dyDescent="0.3">
      <c r="A275" s="2" t="s">
        <v>153</v>
      </c>
      <c r="B275" s="76">
        <v>223.08256938292945</v>
      </c>
    </row>
    <row r="276" spans="1:2" x14ac:dyDescent="0.3">
      <c r="A276" s="2" t="s">
        <v>153</v>
      </c>
      <c r="B276" s="76">
        <v>18.545241967789813</v>
      </c>
    </row>
    <row r="277" spans="1:2" x14ac:dyDescent="0.3">
      <c r="A277" s="2" t="s">
        <v>153</v>
      </c>
      <c r="B277" s="76">
        <v>37.929560304354879</v>
      </c>
    </row>
    <row r="278" spans="1:2" x14ac:dyDescent="0.3">
      <c r="A278" s="2" t="s">
        <v>153</v>
      </c>
      <c r="B278" s="76">
        <v>21.215990492432166</v>
      </c>
    </row>
    <row r="279" spans="1:2" x14ac:dyDescent="0.3">
      <c r="A279" s="2" t="s">
        <v>153</v>
      </c>
      <c r="B279" s="76">
        <v>38.010640786993164</v>
      </c>
    </row>
    <row r="280" spans="1:2" x14ac:dyDescent="0.3">
      <c r="A280" s="2" t="s">
        <v>153</v>
      </c>
      <c r="B280" s="76">
        <v>46.83284013181116</v>
      </c>
    </row>
    <row r="281" spans="1:2" x14ac:dyDescent="0.3">
      <c r="A281" s="2" t="s">
        <v>153</v>
      </c>
      <c r="B281" s="76">
        <v>18.638202678656064</v>
      </c>
    </row>
    <row r="282" spans="1:2" x14ac:dyDescent="0.3">
      <c r="A282" s="2" t="s">
        <v>153</v>
      </c>
      <c r="B282" s="76">
        <v>44.039695834457007</v>
      </c>
    </row>
    <row r="283" spans="1:2" x14ac:dyDescent="0.3">
      <c r="A283" s="2" t="s">
        <v>153</v>
      </c>
      <c r="B283" s="76">
        <v>25.75413237671869</v>
      </c>
    </row>
    <row r="284" spans="1:2" x14ac:dyDescent="0.3">
      <c r="A284" s="2" t="s">
        <v>153</v>
      </c>
      <c r="B284" s="76">
        <v>245.64941979469467</v>
      </c>
    </row>
    <row r="285" spans="1:2" x14ac:dyDescent="0.3">
      <c r="A285" s="2" t="s">
        <v>153</v>
      </c>
      <c r="B285" s="76">
        <v>87.514860685528873</v>
      </c>
    </row>
    <row r="286" spans="1:2" x14ac:dyDescent="0.3">
      <c r="A286" s="2" t="s">
        <v>153</v>
      </c>
      <c r="B286" s="76">
        <v>87.133280508749834</v>
      </c>
    </row>
    <row r="287" spans="1:2" x14ac:dyDescent="0.3">
      <c r="A287" s="2" t="s">
        <v>153</v>
      </c>
      <c r="B287" s="76">
        <v>86.889694113665016</v>
      </c>
    </row>
    <row r="288" spans="1:2" x14ac:dyDescent="0.3">
      <c r="A288" s="2" t="s">
        <v>153</v>
      </c>
      <c r="B288" s="76">
        <v>35.494670894729211</v>
      </c>
    </row>
    <row r="289" spans="1:2" x14ac:dyDescent="0.3">
      <c r="A289" s="2" t="s">
        <v>153</v>
      </c>
      <c r="B289" s="76">
        <v>240.25862504870284</v>
      </c>
    </row>
    <row r="290" spans="1:2" x14ac:dyDescent="0.3">
      <c r="A290" s="2" t="s">
        <v>153</v>
      </c>
      <c r="B290" s="76">
        <v>281.96999082390749</v>
      </c>
    </row>
    <row r="291" spans="1:2" x14ac:dyDescent="0.3">
      <c r="A291" s="2" t="s">
        <v>153</v>
      </c>
      <c r="B291" s="76">
        <v>35.635123737706081</v>
      </c>
    </row>
    <row r="292" spans="1:2" x14ac:dyDescent="0.3">
      <c r="A292" s="2" t="s">
        <v>153</v>
      </c>
      <c r="B292" s="76">
        <v>93.913369430866794</v>
      </c>
    </row>
    <row r="293" spans="1:2" x14ac:dyDescent="0.3">
      <c r="A293" s="2" t="s">
        <v>153</v>
      </c>
      <c r="B293" s="76">
        <v>37.091472251702669</v>
      </c>
    </row>
    <row r="294" spans="1:2" x14ac:dyDescent="0.3">
      <c r="A294" s="2" t="s">
        <v>153</v>
      </c>
      <c r="B294" s="76">
        <v>44.073303437249265</v>
      </c>
    </row>
    <row r="295" spans="1:2" x14ac:dyDescent="0.3">
      <c r="A295" s="2" t="s">
        <v>153</v>
      </c>
      <c r="B295" s="76">
        <v>90.088457330316984</v>
      </c>
    </row>
    <row r="296" spans="1:2" x14ac:dyDescent="0.3">
      <c r="A296" s="2" t="s">
        <v>153</v>
      </c>
      <c r="B296" s="76">
        <v>341.52411303325323</v>
      </c>
    </row>
    <row r="297" spans="1:2" x14ac:dyDescent="0.3">
      <c r="A297" s="2" t="s">
        <v>153</v>
      </c>
      <c r="B297" s="76">
        <v>229.87350039465781</v>
      </c>
    </row>
    <row r="298" spans="1:2" x14ac:dyDescent="0.3">
      <c r="A298" s="2" t="s">
        <v>153</v>
      </c>
      <c r="B298" s="76">
        <v>23.459757883099737</v>
      </c>
    </row>
    <row r="299" spans="1:2" x14ac:dyDescent="0.3">
      <c r="A299" s="2" t="s">
        <v>153</v>
      </c>
      <c r="B299" s="76">
        <v>146.5928783098862</v>
      </c>
    </row>
    <row r="300" spans="1:2" x14ac:dyDescent="0.3">
      <c r="A300" s="2" t="s">
        <v>153</v>
      </c>
      <c r="B300" s="76">
        <v>31.266949802560418</v>
      </c>
    </row>
    <row r="301" spans="1:2" x14ac:dyDescent="0.3">
      <c r="A301" s="2" t="s">
        <v>153</v>
      </c>
      <c r="B301" s="76">
        <v>21.797648714839099</v>
      </c>
    </row>
    <row r="302" spans="1:2" x14ac:dyDescent="0.3">
      <c r="A302" s="2" t="s">
        <v>153</v>
      </c>
      <c r="B302" s="76">
        <v>28.760989756863481</v>
      </c>
    </row>
    <row r="303" spans="1:2" x14ac:dyDescent="0.3">
      <c r="A303" s="2" t="s">
        <v>153</v>
      </c>
      <c r="B303" s="76">
        <v>15.03816996843894</v>
      </c>
    </row>
    <row r="304" spans="1:2" x14ac:dyDescent="0.3">
      <c r="A304" s="2" t="s">
        <v>153</v>
      </c>
      <c r="B304" s="76">
        <v>73.499080795266934</v>
      </c>
    </row>
    <row r="305" spans="1:2" x14ac:dyDescent="0.3">
      <c r="A305" s="2" t="s">
        <v>153</v>
      </c>
      <c r="B305" s="76">
        <v>206.4432042633467</v>
      </c>
    </row>
    <row r="306" spans="1:2" x14ac:dyDescent="0.3">
      <c r="A306" s="2" t="s">
        <v>153</v>
      </c>
      <c r="B306" s="76">
        <v>317.00614746405529</v>
      </c>
    </row>
    <row r="307" spans="1:2" x14ac:dyDescent="0.3">
      <c r="A307" s="2" t="s">
        <v>153</v>
      </c>
      <c r="B307" s="76">
        <v>26.476011234385098</v>
      </c>
    </row>
    <row r="308" spans="1:2" x14ac:dyDescent="0.3">
      <c r="A308" s="2" t="s">
        <v>153</v>
      </c>
      <c r="B308" s="76">
        <v>351.46390570298178</v>
      </c>
    </row>
    <row r="309" spans="1:2" x14ac:dyDescent="0.3">
      <c r="A309" s="2" t="s">
        <v>153</v>
      </c>
      <c r="B309" s="76">
        <v>653.98099322685073</v>
      </c>
    </row>
    <row r="310" spans="1:2" x14ac:dyDescent="0.3">
      <c r="A310" s="2" t="s">
        <v>153</v>
      </c>
      <c r="B310" s="76">
        <v>1029.6083739389062</v>
      </c>
    </row>
    <row r="311" spans="1:2" x14ac:dyDescent="0.3">
      <c r="A311" s="2" t="s">
        <v>153</v>
      </c>
      <c r="B311" s="76">
        <v>349.70371555523764</v>
      </c>
    </row>
    <row r="312" spans="1:2" x14ac:dyDescent="0.3">
      <c r="A312" s="2" t="s">
        <v>153</v>
      </c>
      <c r="B312" s="76">
        <v>114.17401012337645</v>
      </c>
    </row>
    <row r="313" spans="1:2" x14ac:dyDescent="0.3">
      <c r="A313" s="2" t="s">
        <v>153</v>
      </c>
      <c r="B313" s="76">
        <v>477.79950456275907</v>
      </c>
    </row>
    <row r="314" spans="1:2" x14ac:dyDescent="0.3">
      <c r="A314" s="2" t="s">
        <v>153</v>
      </c>
      <c r="B314" s="76">
        <v>247.91637598233569</v>
      </c>
    </row>
    <row r="315" spans="1:2" x14ac:dyDescent="0.3">
      <c r="A315" s="2" t="s">
        <v>153</v>
      </c>
      <c r="B315" s="76">
        <v>32.045484049176238</v>
      </c>
    </row>
    <row r="316" spans="1:2" x14ac:dyDescent="0.3">
      <c r="A316" s="2" t="s">
        <v>153</v>
      </c>
      <c r="B316" s="76">
        <v>72.415446511971069</v>
      </c>
    </row>
    <row r="317" spans="1:2" x14ac:dyDescent="0.3">
      <c r="A317" s="2" t="s">
        <v>153</v>
      </c>
      <c r="B317" s="76">
        <v>252.74419093530184</v>
      </c>
    </row>
    <row r="318" spans="1:2" x14ac:dyDescent="0.3">
      <c r="A318" s="2" t="s">
        <v>153</v>
      </c>
      <c r="B318" s="76">
        <v>33.451493763344914</v>
      </c>
    </row>
    <row r="319" spans="1:2" x14ac:dyDescent="0.3">
      <c r="A319" s="2" t="s">
        <v>153</v>
      </c>
      <c r="B319" s="76">
        <v>37.687153301887513</v>
      </c>
    </row>
    <row r="320" spans="1:2" x14ac:dyDescent="0.3">
      <c r="A320" s="2" t="s">
        <v>153</v>
      </c>
      <c r="B320" s="76">
        <v>134.08255643965143</v>
      </c>
    </row>
    <row r="321" spans="1:2" x14ac:dyDescent="0.3">
      <c r="A321" s="2" t="s">
        <v>153</v>
      </c>
      <c r="B321" s="76">
        <v>35.711011886163419</v>
      </c>
    </row>
    <row r="322" spans="1:2" x14ac:dyDescent="0.3">
      <c r="A322" s="2" t="s">
        <v>153</v>
      </c>
      <c r="B322" s="76">
        <v>546.78172360397923</v>
      </c>
    </row>
    <row r="323" spans="1:2" x14ac:dyDescent="0.3">
      <c r="A323" s="2" t="s">
        <v>153</v>
      </c>
      <c r="B323" s="76">
        <v>186.66106814011201</v>
      </c>
    </row>
    <row r="324" spans="1:2" x14ac:dyDescent="0.3">
      <c r="A324" s="2" t="s">
        <v>153</v>
      </c>
      <c r="B324" s="76">
        <v>475.90914306298941</v>
      </c>
    </row>
    <row r="325" spans="1:2" x14ac:dyDescent="0.3">
      <c r="A325" s="2" t="s">
        <v>153</v>
      </c>
      <c r="B325" s="76">
        <v>314.06777938026067</v>
      </c>
    </row>
    <row r="326" spans="1:2" x14ac:dyDescent="0.3">
      <c r="A326" s="2" t="s">
        <v>153</v>
      </c>
      <c r="B326" s="76">
        <v>97.607947487617565</v>
      </c>
    </row>
    <row r="327" spans="1:2" x14ac:dyDescent="0.3">
      <c r="A327" s="2" t="s">
        <v>153</v>
      </c>
      <c r="B327" s="76">
        <v>525.04343016240477</v>
      </c>
    </row>
    <row r="328" spans="1:2" x14ac:dyDescent="0.3">
      <c r="A328" s="2" t="s">
        <v>153</v>
      </c>
      <c r="B328" s="76">
        <v>30.23817067185875</v>
      </c>
    </row>
    <row r="329" spans="1:2" x14ac:dyDescent="0.3">
      <c r="A329" s="2" t="s">
        <v>153</v>
      </c>
      <c r="B329" s="76">
        <v>27.285500972446329</v>
      </c>
    </row>
    <row r="330" spans="1:2" x14ac:dyDescent="0.3">
      <c r="A330" s="2" t="s">
        <v>153</v>
      </c>
      <c r="B330" s="76">
        <v>37.59303105439146</v>
      </c>
    </row>
    <row r="331" spans="1:2" x14ac:dyDescent="0.3">
      <c r="A331" s="2" t="s">
        <v>153</v>
      </c>
      <c r="B331" s="76">
        <v>152.03371618228942</v>
      </c>
    </row>
    <row r="332" spans="1:2" x14ac:dyDescent="0.3">
      <c r="A332" s="2" t="s">
        <v>153</v>
      </c>
      <c r="B332" s="76">
        <v>18.916272670815371</v>
      </c>
    </row>
    <row r="333" spans="1:2" x14ac:dyDescent="0.3">
      <c r="A333" s="2" t="s">
        <v>153</v>
      </c>
      <c r="B333" s="76">
        <v>85.498530071832846</v>
      </c>
    </row>
    <row r="334" spans="1:2" x14ac:dyDescent="0.3">
      <c r="A334" s="2" t="s">
        <v>153</v>
      </c>
      <c r="B334" s="76">
        <v>223.28248625374431</v>
      </c>
    </row>
    <row r="335" spans="1:2" x14ac:dyDescent="0.3">
      <c r="A335" s="2" t="s">
        <v>153</v>
      </c>
      <c r="B335" s="76">
        <v>41.36722064431266</v>
      </c>
    </row>
    <row r="336" spans="1:2" x14ac:dyDescent="0.3">
      <c r="A336" s="2" t="s">
        <v>153</v>
      </c>
      <c r="B336" s="76">
        <v>175.64481115433207</v>
      </c>
    </row>
    <row r="337" spans="1:2" x14ac:dyDescent="0.3">
      <c r="A337" s="2" t="s">
        <v>153</v>
      </c>
      <c r="B337" s="76">
        <v>185.06803901781493</v>
      </c>
    </row>
    <row r="338" spans="1:2" x14ac:dyDescent="0.3">
      <c r="A338" s="2" t="s">
        <v>153</v>
      </c>
      <c r="B338" s="76">
        <v>88.73482079086854</v>
      </c>
    </row>
    <row r="339" spans="1:2" x14ac:dyDescent="0.3">
      <c r="A339" s="2" t="s">
        <v>153</v>
      </c>
      <c r="B339" s="76">
        <v>104.3290347583855</v>
      </c>
    </row>
    <row r="340" spans="1:2" x14ac:dyDescent="0.3">
      <c r="A340" s="2" t="s">
        <v>153</v>
      </c>
      <c r="B340" s="76">
        <v>385.09611420242976</v>
      </c>
    </row>
    <row r="341" spans="1:2" x14ac:dyDescent="0.3">
      <c r="A341" s="2" t="s">
        <v>153</v>
      </c>
      <c r="B341" s="76">
        <v>116.82975550176413</v>
      </c>
    </row>
    <row r="342" spans="1:2" x14ac:dyDescent="0.3">
      <c r="A342" s="2" t="s">
        <v>153</v>
      </c>
      <c r="B342" s="76">
        <v>299.90744303611081</v>
      </c>
    </row>
    <row r="343" spans="1:2" x14ac:dyDescent="0.3">
      <c r="A343" s="2" t="s">
        <v>153</v>
      </c>
      <c r="B343" s="76">
        <v>147.77074175739691</v>
      </c>
    </row>
    <row r="344" spans="1:2" x14ac:dyDescent="0.3">
      <c r="A344" s="2" t="s">
        <v>153</v>
      </c>
      <c r="B344" s="76">
        <v>205.94266594907864</v>
      </c>
    </row>
    <row r="345" spans="1:2" x14ac:dyDescent="0.3">
      <c r="A345" s="2" t="s">
        <v>153</v>
      </c>
      <c r="B345" s="76">
        <v>661.05114760517984</v>
      </c>
    </row>
    <row r="346" spans="1:2" x14ac:dyDescent="0.3">
      <c r="A346" s="2" t="s">
        <v>153</v>
      </c>
      <c r="B346" s="76">
        <v>56.99440543933931</v>
      </c>
    </row>
    <row r="347" spans="1:2" x14ac:dyDescent="0.3">
      <c r="A347" s="2" t="s">
        <v>153</v>
      </c>
      <c r="B347" s="76">
        <v>49.665555376640043</v>
      </c>
    </row>
    <row r="348" spans="1:2" x14ac:dyDescent="0.3">
      <c r="A348" s="2" t="s">
        <v>153</v>
      </c>
      <c r="B348" s="76">
        <v>61.336151073302617</v>
      </c>
    </row>
    <row r="349" spans="1:2" x14ac:dyDescent="0.3">
      <c r="A349" s="2" t="s">
        <v>153</v>
      </c>
      <c r="B349" s="76">
        <v>81.730499071401255</v>
      </c>
    </row>
    <row r="350" spans="1:2" x14ac:dyDescent="0.3">
      <c r="A350" s="2" t="s">
        <v>153</v>
      </c>
      <c r="B350" s="76">
        <v>1334.9509803374719</v>
      </c>
    </row>
    <row r="351" spans="1:2" x14ac:dyDescent="0.3">
      <c r="A351" s="2" t="s">
        <v>153</v>
      </c>
      <c r="B351" s="76">
        <v>306.23212004278639</v>
      </c>
    </row>
    <row r="352" spans="1:2" x14ac:dyDescent="0.3">
      <c r="A352" s="2" t="s">
        <v>153</v>
      </c>
      <c r="B352" s="76">
        <v>122.93788869181564</v>
      </c>
    </row>
    <row r="353" spans="1:2" x14ac:dyDescent="0.3">
      <c r="A353" s="2" t="s">
        <v>153</v>
      </c>
      <c r="B353" s="76">
        <v>61.827131955242663</v>
      </c>
    </row>
    <row r="354" spans="1:2" x14ac:dyDescent="0.3">
      <c r="A354" s="2" t="s">
        <v>153</v>
      </c>
      <c r="B354" s="76">
        <v>79.524667505994231</v>
      </c>
    </row>
    <row r="355" spans="1:2" x14ac:dyDescent="0.3">
      <c r="A355" s="2" t="s">
        <v>153</v>
      </c>
      <c r="B355" s="76">
        <v>230.71265717335584</v>
      </c>
    </row>
    <row r="356" spans="1:2" x14ac:dyDescent="0.3">
      <c r="A356" s="2" t="s">
        <v>153</v>
      </c>
      <c r="B356" s="76">
        <v>47.58047947117366</v>
      </c>
    </row>
    <row r="357" spans="1:2" x14ac:dyDescent="0.3">
      <c r="A357" s="2" t="s">
        <v>153</v>
      </c>
      <c r="B357" s="76">
        <v>29.520746608002675</v>
      </c>
    </row>
    <row r="358" spans="1:2" x14ac:dyDescent="0.3">
      <c r="A358" s="2" t="s">
        <v>154</v>
      </c>
      <c r="B358" s="76">
        <v>68.766111156000008</v>
      </c>
    </row>
    <row r="359" spans="1:2" x14ac:dyDescent="0.3">
      <c r="A359" s="2" t="s">
        <v>154</v>
      </c>
      <c r="B359" s="76">
        <v>520.65394920000006</v>
      </c>
    </row>
    <row r="360" spans="1:2" x14ac:dyDescent="0.3">
      <c r="A360" s="2" t="s">
        <v>154</v>
      </c>
      <c r="B360" s="76">
        <v>657.32734276799999</v>
      </c>
    </row>
    <row r="361" spans="1:2" x14ac:dyDescent="0.3">
      <c r="A361" s="2" t="s">
        <v>154</v>
      </c>
      <c r="B361" s="76">
        <v>296.86359057600004</v>
      </c>
    </row>
    <row r="362" spans="1:2" x14ac:dyDescent="0.3">
      <c r="A362" s="2" t="s">
        <v>154</v>
      </c>
      <c r="B362" s="76">
        <v>89.023131648000003</v>
      </c>
    </row>
    <row r="363" spans="1:2" x14ac:dyDescent="0.3">
      <c r="A363" s="2" t="s">
        <v>154</v>
      </c>
      <c r="B363" s="76">
        <v>57.36343255500001</v>
      </c>
    </row>
    <row r="364" spans="1:2" x14ac:dyDescent="0.3">
      <c r="A364" s="2" t="s">
        <v>154</v>
      </c>
      <c r="B364" s="76">
        <v>35.022298536000001</v>
      </c>
    </row>
    <row r="365" spans="1:2" x14ac:dyDescent="0.3">
      <c r="A365" s="2" t="s">
        <v>154</v>
      </c>
      <c r="B365" s="76">
        <v>69.668847299999996</v>
      </c>
    </row>
    <row r="366" spans="1:2" x14ac:dyDescent="0.3">
      <c r="A366" s="2" t="s">
        <v>154</v>
      </c>
      <c r="B366" s="76">
        <v>92.012347439999999</v>
      </c>
    </row>
    <row r="367" spans="1:2" x14ac:dyDescent="0.3">
      <c r="A367" s="2" t="s">
        <v>154</v>
      </c>
      <c r="B367" s="76">
        <v>67.890597600000007</v>
      </c>
    </row>
    <row r="368" spans="1:2" x14ac:dyDescent="0.3">
      <c r="A368" s="2" t="s">
        <v>154</v>
      </c>
      <c r="B368" s="76">
        <v>34.350881211000001</v>
      </c>
    </row>
    <row r="369" spans="1:2" x14ac:dyDescent="0.3">
      <c r="A369" s="2" t="s">
        <v>154</v>
      </c>
      <c r="B369" s="76">
        <v>104.56283865600003</v>
      </c>
    </row>
    <row r="370" spans="1:2" x14ac:dyDescent="0.3">
      <c r="A370" s="2" t="s">
        <v>154</v>
      </c>
      <c r="B370" s="76">
        <v>173.76012048000001</v>
      </c>
    </row>
    <row r="371" spans="1:2" x14ac:dyDescent="0.3">
      <c r="A371" s="2" t="s">
        <v>154</v>
      </c>
      <c r="B371" s="76">
        <v>106.28549670900004</v>
      </c>
    </row>
    <row r="372" spans="1:2" x14ac:dyDescent="0.3">
      <c r="A372" s="2" t="s">
        <v>154</v>
      </c>
      <c r="B372" s="76">
        <v>84.926668800000002</v>
      </c>
    </row>
    <row r="373" spans="1:2" x14ac:dyDescent="0.3">
      <c r="A373" s="2" t="s">
        <v>154</v>
      </c>
      <c r="B373" s="76">
        <v>64.845619409999998</v>
      </c>
    </row>
    <row r="374" spans="1:2" x14ac:dyDescent="0.3">
      <c r="A374" s="2" t="s">
        <v>154</v>
      </c>
      <c r="B374" s="76">
        <v>185.39802078000002</v>
      </c>
    </row>
    <row r="375" spans="1:2" x14ac:dyDescent="0.3">
      <c r="A375" s="2" t="s">
        <v>154</v>
      </c>
      <c r="B375" s="76">
        <v>28.8032544</v>
      </c>
    </row>
    <row r="376" spans="1:2" x14ac:dyDescent="0.3">
      <c r="A376" s="2" t="s">
        <v>154</v>
      </c>
      <c r="B376" s="76">
        <v>78.337046208000004</v>
      </c>
    </row>
    <row r="377" spans="1:2" x14ac:dyDescent="0.3">
      <c r="A377" s="2" t="s">
        <v>154</v>
      </c>
      <c r="B377" s="76">
        <v>80.690799957000024</v>
      </c>
    </row>
    <row r="378" spans="1:2" x14ac:dyDescent="0.3">
      <c r="A378" s="2" t="s">
        <v>154</v>
      </c>
      <c r="B378" s="76">
        <v>60.891684860999995</v>
      </c>
    </row>
    <row r="379" spans="1:2" x14ac:dyDescent="0.3">
      <c r="A379" s="2" t="s">
        <v>154</v>
      </c>
      <c r="B379" s="76">
        <v>58.235653055999997</v>
      </c>
    </row>
    <row r="380" spans="1:2" x14ac:dyDescent="0.3">
      <c r="A380" s="2" t="s">
        <v>154</v>
      </c>
      <c r="B380" s="76">
        <v>57.686859341999984</v>
      </c>
    </row>
    <row r="381" spans="1:2" x14ac:dyDescent="0.3">
      <c r="A381" s="2" t="s">
        <v>154</v>
      </c>
      <c r="B381" s="76">
        <v>27.899737680000001</v>
      </c>
    </row>
    <row r="382" spans="1:2" x14ac:dyDescent="0.3">
      <c r="A382" s="2" t="s">
        <v>154</v>
      </c>
      <c r="B382" s="76">
        <v>74.733761034000011</v>
      </c>
    </row>
    <row r="383" spans="1:2" x14ac:dyDescent="0.3">
      <c r="A383" s="2" t="s">
        <v>154</v>
      </c>
      <c r="B383" s="76">
        <v>110.20801307400001</v>
      </c>
    </row>
    <row r="384" spans="1:2" x14ac:dyDescent="0.3">
      <c r="A384" s="2" t="s">
        <v>154</v>
      </c>
      <c r="B384" s="76">
        <v>65.984699331000002</v>
      </c>
    </row>
    <row r="385" spans="1:2" x14ac:dyDescent="0.3">
      <c r="A385" s="2" t="s">
        <v>154</v>
      </c>
      <c r="B385" s="76">
        <v>174.23858917500002</v>
      </c>
    </row>
    <row r="386" spans="1:2" x14ac:dyDescent="0.3">
      <c r="A386" s="2" t="s">
        <v>154</v>
      </c>
      <c r="B386" s="76">
        <v>275.92971311999997</v>
      </c>
    </row>
    <row r="387" spans="1:2" x14ac:dyDescent="0.3">
      <c r="A387" s="2" t="s">
        <v>154</v>
      </c>
      <c r="B387" s="76">
        <v>60.191776512000011</v>
      </c>
    </row>
    <row r="388" spans="1:2" x14ac:dyDescent="0.3">
      <c r="A388" s="2" t="s">
        <v>154</v>
      </c>
      <c r="B388" s="76">
        <v>36.960932211000006</v>
      </c>
    </row>
    <row r="389" spans="1:2" x14ac:dyDescent="0.3">
      <c r="A389" s="2" t="s">
        <v>154</v>
      </c>
      <c r="B389" s="76">
        <v>29.374636031999994</v>
      </c>
    </row>
    <row r="390" spans="1:2" x14ac:dyDescent="0.3">
      <c r="A390" s="2" t="s">
        <v>154</v>
      </c>
      <c r="B390" s="76">
        <v>240.43692239999999</v>
      </c>
    </row>
    <row r="391" spans="1:2" x14ac:dyDescent="0.3">
      <c r="A391" s="2" t="s">
        <v>154</v>
      </c>
      <c r="B391" s="76">
        <v>79.155163035000001</v>
      </c>
    </row>
    <row r="392" spans="1:2" x14ac:dyDescent="0.3">
      <c r="A392" s="2" t="s">
        <v>154</v>
      </c>
      <c r="B392" s="76">
        <v>203.16919942799998</v>
      </c>
    </row>
    <row r="393" spans="1:2" x14ac:dyDescent="0.3">
      <c r="A393" s="2" t="s">
        <v>154</v>
      </c>
      <c r="B393" s="76">
        <v>81.941746176000009</v>
      </c>
    </row>
    <row r="394" spans="1:2" x14ac:dyDescent="0.3">
      <c r="A394" s="2" t="s">
        <v>154</v>
      </c>
      <c r="B394" s="76">
        <v>45.737704362000002</v>
      </c>
    </row>
    <row r="395" spans="1:2" x14ac:dyDescent="0.3">
      <c r="A395" s="2" t="s">
        <v>154</v>
      </c>
      <c r="B395" s="76">
        <v>42.460895100000002</v>
      </c>
    </row>
    <row r="396" spans="1:2" x14ac:dyDescent="0.3">
      <c r="A396" s="2" t="s">
        <v>154</v>
      </c>
      <c r="B396" s="76">
        <v>35.916058055999997</v>
      </c>
    </row>
    <row r="397" spans="1:2" x14ac:dyDescent="0.3">
      <c r="A397" s="2" t="s">
        <v>154</v>
      </c>
      <c r="B397" s="76">
        <v>60.9215175</v>
      </c>
    </row>
    <row r="398" spans="1:2" x14ac:dyDescent="0.3">
      <c r="A398" s="2" t="s">
        <v>154</v>
      </c>
      <c r="B398" s="76">
        <v>37.642253094000004</v>
      </c>
    </row>
    <row r="399" spans="1:2" x14ac:dyDescent="0.3">
      <c r="A399" s="2" t="s">
        <v>154</v>
      </c>
      <c r="B399" s="76">
        <v>57.440636399999995</v>
      </c>
    </row>
    <row r="400" spans="1:2" x14ac:dyDescent="0.3">
      <c r="A400" s="2" t="s">
        <v>154</v>
      </c>
      <c r="B400" s="76">
        <v>69.007065209999993</v>
      </c>
    </row>
    <row r="401" spans="1:2" x14ac:dyDescent="0.3">
      <c r="A401" s="2" t="s">
        <v>154</v>
      </c>
      <c r="B401" s="76">
        <v>107.8585281</v>
      </c>
    </row>
    <row r="402" spans="1:2" x14ac:dyDescent="0.3">
      <c r="A402" s="2" t="s">
        <v>154</v>
      </c>
      <c r="B402" s="76">
        <v>223.61916855000001</v>
      </c>
    </row>
    <row r="403" spans="1:2" x14ac:dyDescent="0.3">
      <c r="A403" s="2" t="s">
        <v>154</v>
      </c>
      <c r="B403" s="76">
        <v>161.24377946399997</v>
      </c>
    </row>
    <row r="404" spans="1:2" x14ac:dyDescent="0.3">
      <c r="A404" s="2" t="s">
        <v>154</v>
      </c>
      <c r="B404" s="76">
        <v>56.209375332000008</v>
      </c>
    </row>
    <row r="405" spans="1:2" x14ac:dyDescent="0.3">
      <c r="A405" s="2" t="s">
        <v>154</v>
      </c>
      <c r="B405" s="76">
        <v>98.865024143999989</v>
      </c>
    </row>
    <row r="406" spans="1:2" x14ac:dyDescent="0.3">
      <c r="A406" s="2" t="s">
        <v>154</v>
      </c>
      <c r="B406" s="76">
        <v>28.111883600999999</v>
      </c>
    </row>
    <row r="407" spans="1:2" x14ac:dyDescent="0.3">
      <c r="A407" s="2" t="s">
        <v>154</v>
      </c>
      <c r="B407" s="76">
        <v>138.136168599</v>
      </c>
    </row>
    <row r="408" spans="1:2" x14ac:dyDescent="0.3">
      <c r="A408" s="2" t="s">
        <v>154</v>
      </c>
      <c r="B408" s="76">
        <v>105.34207304100001</v>
      </c>
    </row>
    <row r="409" spans="1:2" x14ac:dyDescent="0.3">
      <c r="A409" s="2" t="s">
        <v>154</v>
      </c>
      <c r="B409" s="76">
        <v>68.778746729999995</v>
      </c>
    </row>
    <row r="410" spans="1:2" x14ac:dyDescent="0.3">
      <c r="A410" s="2" t="s">
        <v>154</v>
      </c>
      <c r="B410" s="76">
        <v>18.493796880000001</v>
      </c>
    </row>
    <row r="411" spans="1:2" x14ac:dyDescent="0.3">
      <c r="A411" s="2" t="s">
        <v>154</v>
      </c>
      <c r="B411" s="76">
        <v>167.10375864</v>
      </c>
    </row>
    <row r="412" spans="1:2" x14ac:dyDescent="0.3">
      <c r="A412" s="2" t="s">
        <v>154</v>
      </c>
      <c r="B412" s="76">
        <v>145.47860795700001</v>
      </c>
    </row>
    <row r="413" spans="1:2" x14ac:dyDescent="0.3">
      <c r="A413" s="2" t="s">
        <v>154</v>
      </c>
      <c r="B413" s="76">
        <v>46.092232224</v>
      </c>
    </row>
    <row r="414" spans="1:2" x14ac:dyDescent="0.3">
      <c r="A414" s="2" t="s">
        <v>154</v>
      </c>
      <c r="B414" s="76">
        <v>41.217608283000004</v>
      </c>
    </row>
    <row r="415" spans="1:2" x14ac:dyDescent="0.3">
      <c r="A415" s="2" t="s">
        <v>154</v>
      </c>
      <c r="B415" s="76">
        <v>26.859815304000005</v>
      </c>
    </row>
    <row r="416" spans="1:2" x14ac:dyDescent="0.3">
      <c r="A416" s="2" t="s">
        <v>154</v>
      </c>
      <c r="B416" s="76">
        <v>310.80643423200002</v>
      </c>
    </row>
    <row r="417" spans="1:2" x14ac:dyDescent="0.3">
      <c r="A417" s="2" t="s">
        <v>154</v>
      </c>
      <c r="B417" s="76">
        <v>299.52896490000001</v>
      </c>
    </row>
    <row r="418" spans="1:2" x14ac:dyDescent="0.3">
      <c r="A418" s="2" t="s">
        <v>154</v>
      </c>
      <c r="B418" s="76">
        <v>23.348199023999999</v>
      </c>
    </row>
    <row r="419" spans="1:2" x14ac:dyDescent="0.3">
      <c r="A419" s="2" t="s">
        <v>154</v>
      </c>
      <c r="B419" s="76">
        <v>177.937324158</v>
      </c>
    </row>
    <row r="420" spans="1:2" x14ac:dyDescent="0.3">
      <c r="A420" s="2" t="s">
        <v>154</v>
      </c>
      <c r="B420" s="76">
        <v>14.801599220999998</v>
      </c>
    </row>
    <row r="421" spans="1:2" x14ac:dyDescent="0.3">
      <c r="A421" s="2" t="s">
        <v>154</v>
      </c>
      <c r="B421" s="76">
        <v>19.836046098000001</v>
      </c>
    </row>
    <row r="422" spans="1:2" x14ac:dyDescent="0.3">
      <c r="A422" s="2" t="s">
        <v>154</v>
      </c>
      <c r="B422" s="76">
        <v>19.259932224000003</v>
      </c>
    </row>
    <row r="423" spans="1:2" x14ac:dyDescent="0.3">
      <c r="A423" s="2" t="s">
        <v>154</v>
      </c>
      <c r="B423" s="76">
        <v>48.012741900000002</v>
      </c>
    </row>
    <row r="424" spans="1:2" x14ac:dyDescent="0.3">
      <c r="A424" s="2" t="s">
        <v>154</v>
      </c>
      <c r="B424" s="76">
        <v>32.02234982400001</v>
      </c>
    </row>
    <row r="425" spans="1:2" x14ac:dyDescent="0.3">
      <c r="A425" s="2" t="s">
        <v>154</v>
      </c>
      <c r="B425" s="76">
        <v>25.993180800000005</v>
      </c>
    </row>
    <row r="426" spans="1:2" x14ac:dyDescent="0.3">
      <c r="A426" s="2" t="s">
        <v>154</v>
      </c>
      <c r="B426" s="76">
        <v>10.757313</v>
      </c>
    </row>
    <row r="427" spans="1:2" x14ac:dyDescent="0.3">
      <c r="A427" s="2" t="s">
        <v>154</v>
      </c>
      <c r="B427" s="76">
        <v>50.824962083999999</v>
      </c>
    </row>
    <row r="428" spans="1:2" x14ac:dyDescent="0.3">
      <c r="A428" s="2" t="s">
        <v>154</v>
      </c>
      <c r="B428" s="76">
        <v>32.698206675000002</v>
      </c>
    </row>
    <row r="429" spans="1:2" x14ac:dyDescent="0.3">
      <c r="A429" s="2" t="s">
        <v>154</v>
      </c>
      <c r="B429" s="76">
        <v>47.562447120000009</v>
      </c>
    </row>
    <row r="430" spans="1:2" x14ac:dyDescent="0.3">
      <c r="A430" s="2" t="s">
        <v>154</v>
      </c>
      <c r="B430" s="76">
        <v>52.161210623999999</v>
      </c>
    </row>
    <row r="431" spans="1:2" x14ac:dyDescent="0.3">
      <c r="A431" s="2" t="s">
        <v>154</v>
      </c>
      <c r="B431" s="76">
        <v>14.510907840000003</v>
      </c>
    </row>
    <row r="432" spans="1:2" x14ac:dyDescent="0.3">
      <c r="A432" s="2" t="s">
        <v>154</v>
      </c>
      <c r="B432" s="76">
        <v>42.782370447000005</v>
      </c>
    </row>
    <row r="433" spans="1:2" x14ac:dyDescent="0.3">
      <c r="A433" s="2" t="s">
        <v>154</v>
      </c>
      <c r="B433" s="76">
        <v>65.607412800000006</v>
      </c>
    </row>
    <row r="434" spans="1:2" x14ac:dyDescent="0.3">
      <c r="A434" s="2" t="s">
        <v>154</v>
      </c>
      <c r="B434" s="76">
        <v>57.119990414999997</v>
      </c>
    </row>
    <row r="435" spans="1:2" x14ac:dyDescent="0.3">
      <c r="A435" s="2" t="s">
        <v>154</v>
      </c>
      <c r="B435" s="76">
        <v>23.808251004000006</v>
      </c>
    </row>
    <row r="436" spans="1:2" x14ac:dyDescent="0.3">
      <c r="A436" s="2" t="s">
        <v>154</v>
      </c>
      <c r="B436" s="76">
        <v>44.109861899999999</v>
      </c>
    </row>
    <row r="437" spans="1:2" x14ac:dyDescent="0.3">
      <c r="A437" s="2" t="s">
        <v>154</v>
      </c>
      <c r="B437" s="76">
        <v>135.87213230399999</v>
      </c>
    </row>
    <row r="438" spans="1:2" x14ac:dyDescent="0.3">
      <c r="A438" s="2" t="s">
        <v>154</v>
      </c>
      <c r="B438" s="76">
        <v>38.114062500000003</v>
      </c>
    </row>
    <row r="439" spans="1:2" x14ac:dyDescent="0.3">
      <c r="A439" s="2" t="s">
        <v>154</v>
      </c>
      <c r="B439" s="76">
        <v>85.062489024000001</v>
      </c>
    </row>
    <row r="440" spans="1:2" x14ac:dyDescent="0.3">
      <c r="A440" s="2" t="s">
        <v>154</v>
      </c>
      <c r="B440" s="76">
        <v>19.185582360000002</v>
      </c>
    </row>
    <row r="441" spans="1:2" x14ac:dyDescent="0.3">
      <c r="A441" s="2" t="s">
        <v>154</v>
      </c>
      <c r="B441" s="76">
        <v>20.807033855999997</v>
      </c>
    </row>
    <row r="442" spans="1:2" x14ac:dyDescent="0.3">
      <c r="A442" s="2" t="s">
        <v>154</v>
      </c>
      <c r="B442" s="76">
        <v>29.245938563999999</v>
      </c>
    </row>
    <row r="443" spans="1:2" x14ac:dyDescent="0.3">
      <c r="A443" s="2" t="s">
        <v>154</v>
      </c>
      <c r="B443" s="76">
        <v>32.630808815999998</v>
      </c>
    </row>
    <row r="444" spans="1:2" x14ac:dyDescent="0.3">
      <c r="A444" s="2" t="s">
        <v>154</v>
      </c>
      <c r="B444" s="76">
        <v>39.575203199999997</v>
      </c>
    </row>
    <row r="445" spans="1:2" x14ac:dyDescent="0.3">
      <c r="A445" s="2" t="s">
        <v>154</v>
      </c>
      <c r="B445" s="76">
        <v>37.567561728000015</v>
      </c>
    </row>
    <row r="446" spans="1:2" x14ac:dyDescent="0.3">
      <c r="A446" s="2" t="s">
        <v>154</v>
      </c>
      <c r="B446" s="76">
        <v>34.840521900000006</v>
      </c>
    </row>
    <row r="447" spans="1:2" x14ac:dyDescent="0.3">
      <c r="A447" s="2" t="s">
        <v>154</v>
      </c>
      <c r="B447" s="76">
        <v>48.209105550000004</v>
      </c>
    </row>
    <row r="448" spans="1:2" x14ac:dyDescent="0.3">
      <c r="A448" s="2" t="s">
        <v>154</v>
      </c>
      <c r="B448" s="76">
        <v>67.562072676</v>
      </c>
    </row>
    <row r="449" spans="1:2" x14ac:dyDescent="0.3">
      <c r="A449" s="2" t="s">
        <v>154</v>
      </c>
      <c r="B449" s="76">
        <v>59.498015199000001</v>
      </c>
    </row>
    <row r="450" spans="1:2" x14ac:dyDescent="0.3">
      <c r="A450" s="2" t="s">
        <v>154</v>
      </c>
      <c r="B450" s="76">
        <v>284.33944380000003</v>
      </c>
    </row>
    <row r="451" spans="1:2" x14ac:dyDescent="0.3">
      <c r="A451" s="2" t="s">
        <v>154</v>
      </c>
      <c r="B451" s="76">
        <v>43.452470550000008</v>
      </c>
    </row>
    <row r="452" spans="1:2" x14ac:dyDescent="0.3">
      <c r="A452" s="2" t="s">
        <v>154</v>
      </c>
      <c r="B452" s="76">
        <v>93.792353435999971</v>
      </c>
    </row>
    <row r="453" spans="1:2" x14ac:dyDescent="0.3">
      <c r="A453" s="2" t="s">
        <v>154</v>
      </c>
      <c r="B453" s="76">
        <v>227.80917855300004</v>
      </c>
    </row>
    <row r="454" spans="1:2" x14ac:dyDescent="0.3">
      <c r="A454" s="2" t="s">
        <v>154</v>
      </c>
      <c r="B454" s="76">
        <v>24.109553339999998</v>
      </c>
    </row>
    <row r="455" spans="1:2" x14ac:dyDescent="0.3">
      <c r="A455" s="2" t="s">
        <v>154</v>
      </c>
      <c r="B455" s="76">
        <v>33.797477220000005</v>
      </c>
    </row>
    <row r="456" spans="1:2" x14ac:dyDescent="0.3">
      <c r="A456" s="2" t="s">
        <v>154</v>
      </c>
      <c r="B456" s="76">
        <v>25.793377737000004</v>
      </c>
    </row>
    <row r="457" spans="1:2" x14ac:dyDescent="0.3">
      <c r="A457" s="2" t="s">
        <v>154</v>
      </c>
      <c r="B457" s="76">
        <v>57.441465762</v>
      </c>
    </row>
    <row r="458" spans="1:2" x14ac:dyDescent="0.3">
      <c r="A458" s="2" t="s">
        <v>154</v>
      </c>
      <c r="B458" s="76">
        <v>72.638841408000005</v>
      </c>
    </row>
    <row r="459" spans="1:2" x14ac:dyDescent="0.3">
      <c r="A459" s="2" t="s">
        <v>154</v>
      </c>
      <c r="B459" s="76">
        <v>21.104140596000001</v>
      </c>
    </row>
    <row r="460" spans="1:2" x14ac:dyDescent="0.3">
      <c r="A460" s="2" t="s">
        <v>154</v>
      </c>
      <c r="B460" s="76">
        <v>59.461157376000017</v>
      </c>
    </row>
    <row r="461" spans="1:2" x14ac:dyDescent="0.3">
      <c r="A461" s="2" t="s">
        <v>154</v>
      </c>
      <c r="B461" s="76">
        <v>27.499619301000003</v>
      </c>
    </row>
    <row r="462" spans="1:2" x14ac:dyDescent="0.3">
      <c r="A462" s="2" t="s">
        <v>154</v>
      </c>
      <c r="B462" s="76">
        <v>232.77947184000004</v>
      </c>
    </row>
    <row r="463" spans="1:2" x14ac:dyDescent="0.3">
      <c r="A463" s="2" t="s">
        <v>154</v>
      </c>
      <c r="B463" s="76">
        <v>134.09583404400004</v>
      </c>
    </row>
    <row r="464" spans="1:2" x14ac:dyDescent="0.3">
      <c r="A464" s="2" t="s">
        <v>154</v>
      </c>
      <c r="B464" s="76">
        <v>127.03010887800001</v>
      </c>
    </row>
    <row r="465" spans="1:2" x14ac:dyDescent="0.3">
      <c r="A465" s="2" t="s">
        <v>154</v>
      </c>
      <c r="B465" s="76">
        <v>102.11214712500004</v>
      </c>
    </row>
    <row r="466" spans="1:2" x14ac:dyDescent="0.3">
      <c r="A466" s="2" t="s">
        <v>154</v>
      </c>
      <c r="B466" s="76">
        <v>50.344224840000003</v>
      </c>
    </row>
    <row r="467" spans="1:2" x14ac:dyDescent="0.3">
      <c r="A467" s="2" t="s">
        <v>154</v>
      </c>
      <c r="B467" s="76">
        <v>279.21874327500007</v>
      </c>
    </row>
    <row r="468" spans="1:2" x14ac:dyDescent="0.3">
      <c r="A468" s="2" t="s">
        <v>154</v>
      </c>
      <c r="B468" s="76">
        <v>425.30600536799994</v>
      </c>
    </row>
    <row r="469" spans="1:2" x14ac:dyDescent="0.3">
      <c r="A469" s="2" t="s">
        <v>154</v>
      </c>
      <c r="B469" s="76">
        <v>40.296065136000003</v>
      </c>
    </row>
    <row r="470" spans="1:2" x14ac:dyDescent="0.3">
      <c r="A470" s="2" t="s">
        <v>154</v>
      </c>
      <c r="B470" s="76">
        <v>125.23902845999999</v>
      </c>
    </row>
    <row r="471" spans="1:2" x14ac:dyDescent="0.3">
      <c r="A471" s="2" t="s">
        <v>154</v>
      </c>
      <c r="B471" s="76">
        <v>40.747067312999995</v>
      </c>
    </row>
    <row r="472" spans="1:2" x14ac:dyDescent="0.3">
      <c r="A472" s="2" t="s">
        <v>154</v>
      </c>
      <c r="B472" s="76">
        <v>57.969549819000008</v>
      </c>
    </row>
    <row r="473" spans="1:2" x14ac:dyDescent="0.3">
      <c r="A473" s="2" t="s">
        <v>154</v>
      </c>
      <c r="B473" s="76">
        <v>126.094369005</v>
      </c>
    </row>
    <row r="474" spans="1:2" x14ac:dyDescent="0.3">
      <c r="A474" s="2" t="s">
        <v>154</v>
      </c>
      <c r="B474" s="76">
        <v>281.11790907599999</v>
      </c>
    </row>
    <row r="475" spans="1:2" x14ac:dyDescent="0.3">
      <c r="A475" s="2" t="s">
        <v>154</v>
      </c>
      <c r="B475" s="76">
        <v>203.307702882</v>
      </c>
    </row>
    <row r="476" spans="1:2" x14ac:dyDescent="0.3">
      <c r="A476" s="2" t="s">
        <v>154</v>
      </c>
      <c r="B476" s="76">
        <v>33.857874288000012</v>
      </c>
    </row>
    <row r="477" spans="1:2" x14ac:dyDescent="0.3">
      <c r="A477" s="2" t="s">
        <v>154</v>
      </c>
      <c r="B477" s="76">
        <v>198.09679704300001</v>
      </c>
    </row>
    <row r="478" spans="1:2" x14ac:dyDescent="0.3">
      <c r="A478" s="2" t="s">
        <v>154</v>
      </c>
      <c r="B478" s="76">
        <v>46.287522582000008</v>
      </c>
    </row>
    <row r="479" spans="1:2" x14ac:dyDescent="0.3">
      <c r="A479" s="2" t="s">
        <v>154</v>
      </c>
      <c r="B479" s="76">
        <v>26.563977000000001</v>
      </c>
    </row>
    <row r="480" spans="1:2" x14ac:dyDescent="0.3">
      <c r="A480" s="2" t="s">
        <v>154</v>
      </c>
      <c r="B480" s="76">
        <v>43.228054950000008</v>
      </c>
    </row>
    <row r="481" spans="1:2" x14ac:dyDescent="0.3">
      <c r="A481" s="2" t="s">
        <v>154</v>
      </c>
      <c r="B481" s="76">
        <v>13.177708425000001</v>
      </c>
    </row>
    <row r="482" spans="1:2" x14ac:dyDescent="0.3">
      <c r="A482" s="2" t="s">
        <v>154</v>
      </c>
      <c r="B482" s="76">
        <v>101.60721202500001</v>
      </c>
    </row>
    <row r="483" spans="1:2" x14ac:dyDescent="0.3">
      <c r="A483" s="2" t="s">
        <v>154</v>
      </c>
      <c r="B483" s="76">
        <v>258.32918790000002</v>
      </c>
    </row>
    <row r="484" spans="1:2" x14ac:dyDescent="0.3">
      <c r="A484" s="2" t="s">
        <v>154</v>
      </c>
      <c r="B484" s="76">
        <v>403.04046525600006</v>
      </c>
    </row>
    <row r="485" spans="1:2" x14ac:dyDescent="0.3">
      <c r="A485" s="2" t="s">
        <v>154</v>
      </c>
      <c r="B485" s="76">
        <v>32.266572540000006</v>
      </c>
    </row>
    <row r="486" spans="1:2" x14ac:dyDescent="0.3">
      <c r="A486" s="2" t="s">
        <v>154</v>
      </c>
      <c r="B486" s="76">
        <v>310.38997254300011</v>
      </c>
    </row>
    <row r="487" spans="1:2" x14ac:dyDescent="0.3">
      <c r="A487" s="2" t="s">
        <v>154</v>
      </c>
      <c r="B487" s="76">
        <v>719.62296674400011</v>
      </c>
    </row>
    <row r="488" spans="1:2" x14ac:dyDescent="0.3">
      <c r="A488" s="2" t="s">
        <v>154</v>
      </c>
      <c r="B488" s="76">
        <v>1067.3405958600001</v>
      </c>
    </row>
    <row r="489" spans="1:2" x14ac:dyDescent="0.3">
      <c r="A489" s="2" t="s">
        <v>154</v>
      </c>
      <c r="B489" s="76">
        <v>452.15657572500004</v>
      </c>
    </row>
    <row r="490" spans="1:2" x14ac:dyDescent="0.3">
      <c r="A490" s="2" t="s">
        <v>154</v>
      </c>
      <c r="B490" s="76">
        <v>122.29023186899998</v>
      </c>
    </row>
    <row r="491" spans="1:2" x14ac:dyDescent="0.3">
      <c r="A491" s="2" t="s">
        <v>154</v>
      </c>
      <c r="B491" s="76">
        <v>496.03165500000006</v>
      </c>
    </row>
    <row r="492" spans="1:2" x14ac:dyDescent="0.3">
      <c r="A492" s="2" t="s">
        <v>154</v>
      </c>
      <c r="B492" s="76">
        <v>284.181401553</v>
      </c>
    </row>
    <row r="493" spans="1:2" x14ac:dyDescent="0.3">
      <c r="A493" s="2" t="s">
        <v>154</v>
      </c>
      <c r="B493" s="76">
        <v>42.007478016000007</v>
      </c>
    </row>
    <row r="494" spans="1:2" x14ac:dyDescent="0.3">
      <c r="A494" s="2" t="s">
        <v>154</v>
      </c>
      <c r="B494" s="76">
        <v>100.379341584</v>
      </c>
    </row>
    <row r="495" spans="1:2" x14ac:dyDescent="0.3">
      <c r="A495" s="2" t="s">
        <v>154</v>
      </c>
      <c r="B495" s="76">
        <v>252.31853316300004</v>
      </c>
    </row>
    <row r="496" spans="1:2" x14ac:dyDescent="0.3">
      <c r="A496" s="2" t="s">
        <v>154</v>
      </c>
      <c r="B496" s="76">
        <v>56.041941780000002</v>
      </c>
    </row>
    <row r="497" spans="1:2" x14ac:dyDescent="0.3">
      <c r="A497" s="2" t="s">
        <v>154</v>
      </c>
      <c r="B497" s="76">
        <v>40.060258005000001</v>
      </c>
    </row>
    <row r="498" spans="1:2" x14ac:dyDescent="0.3">
      <c r="A498" s="2" t="s">
        <v>154</v>
      </c>
      <c r="B498" s="76">
        <v>163.35152980800001</v>
      </c>
    </row>
    <row r="499" spans="1:2" x14ac:dyDescent="0.3">
      <c r="A499" s="2" t="s">
        <v>154</v>
      </c>
      <c r="B499" s="76">
        <v>49.572771822</v>
      </c>
    </row>
    <row r="500" spans="1:2" x14ac:dyDescent="0.3">
      <c r="A500" s="2" t="s">
        <v>154</v>
      </c>
      <c r="B500" s="76">
        <v>613.29856319999999</v>
      </c>
    </row>
    <row r="501" spans="1:2" x14ac:dyDescent="0.3">
      <c r="A501" s="2" t="s">
        <v>154</v>
      </c>
      <c r="B501" s="76">
        <v>280.32679530000001</v>
      </c>
    </row>
    <row r="502" spans="1:2" x14ac:dyDescent="0.3">
      <c r="A502" s="2" t="s">
        <v>154</v>
      </c>
      <c r="B502" s="76">
        <v>599.57876913600012</v>
      </c>
    </row>
    <row r="503" spans="1:2" x14ac:dyDescent="0.3">
      <c r="A503" s="2" t="s">
        <v>154</v>
      </c>
      <c r="B503" s="76">
        <v>410.25830516999997</v>
      </c>
    </row>
    <row r="504" spans="1:2" x14ac:dyDescent="0.3">
      <c r="A504" s="2" t="s">
        <v>154</v>
      </c>
      <c r="B504" s="76">
        <v>155.65309900800005</v>
      </c>
    </row>
    <row r="505" spans="1:2" x14ac:dyDescent="0.3">
      <c r="A505" s="2" t="s">
        <v>154</v>
      </c>
      <c r="B505" s="76">
        <v>575.13973954500023</v>
      </c>
    </row>
    <row r="506" spans="1:2" x14ac:dyDescent="0.3">
      <c r="A506" s="2" t="s">
        <v>154</v>
      </c>
      <c r="B506" s="76">
        <v>44.154257160000007</v>
      </c>
    </row>
    <row r="507" spans="1:2" x14ac:dyDescent="0.3">
      <c r="A507" s="2" t="s">
        <v>154</v>
      </c>
      <c r="B507" s="76">
        <v>34.644109464000003</v>
      </c>
    </row>
    <row r="508" spans="1:2" x14ac:dyDescent="0.3">
      <c r="A508" s="2" t="s">
        <v>154</v>
      </c>
      <c r="B508" s="76">
        <v>44.456242500000002</v>
      </c>
    </row>
    <row r="509" spans="1:2" x14ac:dyDescent="0.3">
      <c r="A509" s="2" t="s">
        <v>154</v>
      </c>
      <c r="B509" s="76">
        <v>171.38297384400002</v>
      </c>
    </row>
    <row r="510" spans="1:2" x14ac:dyDescent="0.3">
      <c r="A510" s="2" t="s">
        <v>154</v>
      </c>
      <c r="B510" s="76">
        <v>23.481287232000003</v>
      </c>
    </row>
    <row r="511" spans="1:2" x14ac:dyDescent="0.3">
      <c r="A511" s="2" t="s">
        <v>154</v>
      </c>
      <c r="B511" s="76">
        <v>88.801057776000022</v>
      </c>
    </row>
    <row r="512" spans="1:2" x14ac:dyDescent="0.3">
      <c r="A512" s="2" t="s">
        <v>154</v>
      </c>
      <c r="B512" s="76">
        <v>259.79130431999999</v>
      </c>
    </row>
    <row r="513" spans="1:2" x14ac:dyDescent="0.3">
      <c r="A513" s="2" t="s">
        <v>154</v>
      </c>
      <c r="B513" s="76">
        <v>42.567614475000006</v>
      </c>
    </row>
    <row r="514" spans="1:2" x14ac:dyDescent="0.3">
      <c r="A514" s="2" t="s">
        <v>154</v>
      </c>
      <c r="B514" s="76">
        <v>161.10151948800001</v>
      </c>
    </row>
    <row r="515" spans="1:2" x14ac:dyDescent="0.3">
      <c r="A515" s="2" t="s">
        <v>154</v>
      </c>
      <c r="B515" s="76">
        <v>157.39671064800001</v>
      </c>
    </row>
    <row r="516" spans="1:2" x14ac:dyDescent="0.3">
      <c r="A516" s="2" t="s">
        <v>154</v>
      </c>
      <c r="B516" s="76">
        <v>78.244962632999986</v>
      </c>
    </row>
    <row r="517" spans="1:2" x14ac:dyDescent="0.3">
      <c r="A517" s="2" t="s">
        <v>154</v>
      </c>
      <c r="B517" s="76">
        <v>99.818497727999997</v>
      </c>
    </row>
    <row r="518" spans="1:2" x14ac:dyDescent="0.3">
      <c r="A518" s="2" t="s">
        <v>154</v>
      </c>
      <c r="B518" s="76">
        <v>341.80161921900003</v>
      </c>
    </row>
    <row r="519" spans="1:2" x14ac:dyDescent="0.3">
      <c r="A519" s="2" t="s">
        <v>154</v>
      </c>
      <c r="B519" s="76">
        <v>83.164786802999998</v>
      </c>
    </row>
    <row r="520" spans="1:2" x14ac:dyDescent="0.3">
      <c r="A520" s="2" t="s">
        <v>154</v>
      </c>
      <c r="B520" s="76">
        <v>274.08755376000005</v>
      </c>
    </row>
    <row r="521" spans="1:2" x14ac:dyDescent="0.3">
      <c r="A521" s="2" t="s">
        <v>154</v>
      </c>
      <c r="B521" s="76">
        <v>169.82552958000002</v>
      </c>
    </row>
    <row r="522" spans="1:2" x14ac:dyDescent="0.3">
      <c r="A522" s="2" t="s">
        <v>154</v>
      </c>
      <c r="B522" s="76">
        <v>256.85302111200008</v>
      </c>
    </row>
    <row r="523" spans="1:2" x14ac:dyDescent="0.3">
      <c r="A523" s="2" t="s">
        <v>154</v>
      </c>
      <c r="B523" s="76">
        <v>639.35426325900016</v>
      </c>
    </row>
    <row r="524" spans="1:2" x14ac:dyDescent="0.3">
      <c r="A524" s="2" t="s">
        <v>154</v>
      </c>
      <c r="B524" s="76">
        <v>68.860853567999996</v>
      </c>
    </row>
    <row r="525" spans="1:2" x14ac:dyDescent="0.3">
      <c r="A525" s="2" t="s">
        <v>154</v>
      </c>
      <c r="B525" s="76">
        <v>67.273161984000012</v>
      </c>
    </row>
    <row r="526" spans="1:2" x14ac:dyDescent="0.3">
      <c r="A526" s="2" t="s">
        <v>154</v>
      </c>
      <c r="B526" s="76">
        <v>72.713459595000018</v>
      </c>
    </row>
    <row r="527" spans="1:2" x14ac:dyDescent="0.3">
      <c r="A527" s="2" t="s">
        <v>154</v>
      </c>
      <c r="B527" s="76">
        <v>104.58498750000001</v>
      </c>
    </row>
    <row r="528" spans="1:2" x14ac:dyDescent="0.3">
      <c r="A528" s="2" t="s">
        <v>154</v>
      </c>
      <c r="B528" s="76">
        <v>1357.7485302</v>
      </c>
    </row>
    <row r="529" spans="1:2" x14ac:dyDescent="0.3">
      <c r="A529" s="2" t="s">
        <v>154</v>
      </c>
      <c r="B529" s="76">
        <v>302.564527392</v>
      </c>
    </row>
    <row r="530" spans="1:2" x14ac:dyDescent="0.3">
      <c r="A530" s="2" t="s">
        <v>154</v>
      </c>
      <c r="B530" s="76">
        <v>128.46671021999998</v>
      </c>
    </row>
    <row r="531" spans="1:2" x14ac:dyDescent="0.3">
      <c r="A531" s="2" t="s">
        <v>154</v>
      </c>
      <c r="B531" s="76">
        <v>65.487130917000016</v>
      </c>
    </row>
    <row r="532" spans="1:2" x14ac:dyDescent="0.3">
      <c r="A532" s="2" t="s">
        <v>154</v>
      </c>
      <c r="B532" s="76">
        <v>95.960891136000015</v>
      </c>
    </row>
    <row r="533" spans="1:2" x14ac:dyDescent="0.3">
      <c r="A533" s="2" t="s">
        <v>154</v>
      </c>
      <c r="B533" s="76">
        <v>229.47156150299998</v>
      </c>
    </row>
    <row r="534" spans="1:2" x14ac:dyDescent="0.3">
      <c r="A534" s="2" t="s">
        <v>154</v>
      </c>
      <c r="B534" s="76">
        <v>61.390790034000013</v>
      </c>
    </row>
    <row r="535" spans="1:2" x14ac:dyDescent="0.3">
      <c r="A535" s="2" t="s">
        <v>154</v>
      </c>
      <c r="B535" s="76">
        <v>40.415224941000005</v>
      </c>
    </row>
    <row r="536" spans="1:2" x14ac:dyDescent="0.3">
      <c r="A536" s="2" t="s">
        <v>155</v>
      </c>
      <c r="B536" s="76">
        <v>134.14023866060629</v>
      </c>
    </row>
    <row r="537" spans="1:2" x14ac:dyDescent="0.3">
      <c r="A537" s="2" t="s">
        <v>155</v>
      </c>
      <c r="B537" s="76">
        <v>502.0658142902243</v>
      </c>
    </row>
    <row r="538" spans="1:2" x14ac:dyDescent="0.3">
      <c r="A538" s="2" t="s">
        <v>155</v>
      </c>
      <c r="B538" s="76">
        <v>443.32838858536547</v>
      </c>
    </row>
    <row r="539" spans="1:2" x14ac:dyDescent="0.3">
      <c r="A539" s="2" t="s">
        <v>155</v>
      </c>
      <c r="B539" s="76">
        <v>292.89220174543226</v>
      </c>
    </row>
    <row r="540" spans="1:2" x14ac:dyDescent="0.3">
      <c r="A540" s="2" t="s">
        <v>155</v>
      </c>
      <c r="B540" s="76">
        <v>94.488364183450912</v>
      </c>
    </row>
    <row r="541" spans="1:2" x14ac:dyDescent="0.3">
      <c r="A541" s="2" t="s">
        <v>155</v>
      </c>
      <c r="B541" s="76">
        <v>89.581105255366126</v>
      </c>
    </row>
    <row r="542" spans="1:2" x14ac:dyDescent="0.3">
      <c r="A542" s="2" t="s">
        <v>155</v>
      </c>
      <c r="B542" s="76">
        <v>85.602848344015115</v>
      </c>
    </row>
    <row r="543" spans="1:2" x14ac:dyDescent="0.3">
      <c r="A543" s="2" t="s">
        <v>155</v>
      </c>
      <c r="B543" s="76">
        <v>145.5285501737153</v>
      </c>
    </row>
    <row r="544" spans="1:2" x14ac:dyDescent="0.3">
      <c r="A544" s="2" t="s">
        <v>155</v>
      </c>
      <c r="B544" s="76">
        <v>151.81605107719457</v>
      </c>
    </row>
    <row r="545" spans="1:2" x14ac:dyDescent="0.3">
      <c r="A545" s="2" t="s">
        <v>155</v>
      </c>
      <c r="B545" s="76">
        <v>120.31609151594604</v>
      </c>
    </row>
    <row r="546" spans="1:2" x14ac:dyDescent="0.3">
      <c r="A546" s="2" t="s">
        <v>155</v>
      </c>
      <c r="B546" s="76">
        <v>75.406210770962389</v>
      </c>
    </row>
    <row r="547" spans="1:2" x14ac:dyDescent="0.3">
      <c r="A547" s="2" t="s">
        <v>155</v>
      </c>
      <c r="B547" s="76">
        <v>132.55021535571171</v>
      </c>
    </row>
    <row r="548" spans="1:2" x14ac:dyDescent="0.3">
      <c r="A548" s="2" t="s">
        <v>155</v>
      </c>
      <c r="B548" s="76">
        <v>211.45755458962046</v>
      </c>
    </row>
    <row r="549" spans="1:2" x14ac:dyDescent="0.3">
      <c r="A549" s="2" t="s">
        <v>155</v>
      </c>
      <c r="B549" s="76">
        <v>138.91301245775276</v>
      </c>
    </row>
    <row r="550" spans="1:2" x14ac:dyDescent="0.3">
      <c r="A550" s="2" t="s">
        <v>155</v>
      </c>
      <c r="B550" s="76">
        <v>127.89441167183098</v>
      </c>
    </row>
    <row r="551" spans="1:2" x14ac:dyDescent="0.3">
      <c r="A551" s="2" t="s">
        <v>155</v>
      </c>
      <c r="B551" s="76">
        <v>107.57805682545897</v>
      </c>
    </row>
    <row r="552" spans="1:2" x14ac:dyDescent="0.3">
      <c r="A552" s="2" t="s">
        <v>155</v>
      </c>
      <c r="B552" s="76">
        <v>190.16332694504101</v>
      </c>
    </row>
    <row r="553" spans="1:2" x14ac:dyDescent="0.3">
      <c r="A553" s="2" t="s">
        <v>155</v>
      </c>
      <c r="B553" s="76">
        <v>45.844199849688202</v>
      </c>
    </row>
    <row r="554" spans="1:2" x14ac:dyDescent="0.3">
      <c r="A554" s="2" t="s">
        <v>155</v>
      </c>
      <c r="B554" s="76">
        <v>125.90893913864643</v>
      </c>
    </row>
    <row r="555" spans="1:2" x14ac:dyDescent="0.3">
      <c r="A555" s="2" t="s">
        <v>155</v>
      </c>
      <c r="B555" s="76">
        <v>137.07854076142746</v>
      </c>
    </row>
    <row r="556" spans="1:2" x14ac:dyDescent="0.3">
      <c r="A556" s="2" t="s">
        <v>155</v>
      </c>
      <c r="B556" s="76">
        <v>106.90952769132673</v>
      </c>
    </row>
    <row r="557" spans="1:2" x14ac:dyDescent="0.3">
      <c r="A557" s="2" t="s">
        <v>155</v>
      </c>
      <c r="B557" s="76">
        <v>87.811676042500451</v>
      </c>
    </row>
    <row r="558" spans="1:2" x14ac:dyDescent="0.3">
      <c r="A558" s="2" t="s">
        <v>155</v>
      </c>
      <c r="B558" s="76">
        <v>98.617493947276444</v>
      </c>
    </row>
    <row r="559" spans="1:2" x14ac:dyDescent="0.3">
      <c r="A559" s="2" t="s">
        <v>155</v>
      </c>
      <c r="B559" s="76">
        <v>46.853623579190248</v>
      </c>
    </row>
    <row r="560" spans="1:2" x14ac:dyDescent="0.3">
      <c r="A560" s="2" t="s">
        <v>155</v>
      </c>
      <c r="B560" s="76">
        <v>122.24595919482643</v>
      </c>
    </row>
    <row r="561" spans="1:2" x14ac:dyDescent="0.3">
      <c r="A561" s="2" t="s">
        <v>155</v>
      </c>
      <c r="B561" s="76">
        <v>172.89615176405852</v>
      </c>
    </row>
    <row r="562" spans="1:2" x14ac:dyDescent="0.3">
      <c r="A562" s="2" t="s">
        <v>155</v>
      </c>
      <c r="B562" s="76">
        <v>88.871997570816845</v>
      </c>
    </row>
    <row r="563" spans="1:2" x14ac:dyDescent="0.3">
      <c r="A563" s="2" t="s">
        <v>155</v>
      </c>
      <c r="B563" s="76">
        <v>156.40114010938478</v>
      </c>
    </row>
    <row r="564" spans="1:2" x14ac:dyDescent="0.3">
      <c r="A564" s="2" t="s">
        <v>155</v>
      </c>
      <c r="B564" s="76">
        <v>313.33010772141915</v>
      </c>
    </row>
    <row r="565" spans="1:2" x14ac:dyDescent="0.3">
      <c r="A565" s="2" t="s">
        <v>155</v>
      </c>
      <c r="B565" s="76">
        <v>94.893167399390066</v>
      </c>
    </row>
    <row r="566" spans="1:2" x14ac:dyDescent="0.3">
      <c r="A566" s="2" t="s">
        <v>155</v>
      </c>
      <c r="B566" s="76">
        <v>67.676633362222702</v>
      </c>
    </row>
    <row r="567" spans="1:2" x14ac:dyDescent="0.3">
      <c r="A567" s="2" t="s">
        <v>155</v>
      </c>
      <c r="B567" s="76">
        <v>54.36688852501856</v>
      </c>
    </row>
    <row r="568" spans="1:2" x14ac:dyDescent="0.3">
      <c r="A568" s="2" t="s">
        <v>155</v>
      </c>
      <c r="B568" s="76">
        <v>309.5153797520847</v>
      </c>
    </row>
    <row r="569" spans="1:2" x14ac:dyDescent="0.3">
      <c r="A569" s="2" t="s">
        <v>155</v>
      </c>
      <c r="B569" s="76">
        <v>178.8939172985724</v>
      </c>
    </row>
    <row r="570" spans="1:2" x14ac:dyDescent="0.3">
      <c r="A570" s="2" t="s">
        <v>155</v>
      </c>
      <c r="B570" s="76">
        <v>240.69284895941914</v>
      </c>
    </row>
    <row r="571" spans="1:2" x14ac:dyDescent="0.3">
      <c r="A571" s="2" t="s">
        <v>155</v>
      </c>
      <c r="B571" s="76">
        <v>118.1977344066806</v>
      </c>
    </row>
    <row r="572" spans="1:2" x14ac:dyDescent="0.3">
      <c r="A572" s="2" t="s">
        <v>155</v>
      </c>
      <c r="B572" s="76">
        <v>74.091144432374918</v>
      </c>
    </row>
    <row r="573" spans="1:2" x14ac:dyDescent="0.3">
      <c r="A573" s="2" t="s">
        <v>155</v>
      </c>
      <c r="B573" s="76">
        <v>69.475543922911626</v>
      </c>
    </row>
    <row r="574" spans="1:2" x14ac:dyDescent="0.3">
      <c r="A574" s="2" t="s">
        <v>155</v>
      </c>
      <c r="B574" s="76">
        <v>50.85607443045744</v>
      </c>
    </row>
    <row r="575" spans="1:2" x14ac:dyDescent="0.3">
      <c r="A575" s="2" t="s">
        <v>155</v>
      </c>
      <c r="B575" s="76">
        <v>88.873591177433241</v>
      </c>
    </row>
    <row r="576" spans="1:2" x14ac:dyDescent="0.3">
      <c r="A576" s="2" t="s">
        <v>155</v>
      </c>
      <c r="B576" s="76">
        <v>64.998598185869355</v>
      </c>
    </row>
    <row r="577" spans="1:2" x14ac:dyDescent="0.3">
      <c r="A577" s="2" t="s">
        <v>155</v>
      </c>
      <c r="B577" s="76">
        <v>87.246067895806874</v>
      </c>
    </row>
    <row r="578" spans="1:2" x14ac:dyDescent="0.3">
      <c r="A578" s="2" t="s">
        <v>155</v>
      </c>
      <c r="B578" s="76">
        <v>145.75417804492005</v>
      </c>
    </row>
    <row r="579" spans="1:2" x14ac:dyDescent="0.3">
      <c r="A579" s="2" t="s">
        <v>155</v>
      </c>
      <c r="B579" s="76">
        <v>161.43154858344235</v>
      </c>
    </row>
    <row r="580" spans="1:2" x14ac:dyDescent="0.3">
      <c r="A580" s="2" t="s">
        <v>155</v>
      </c>
      <c r="B580" s="76">
        <v>247.22096916355756</v>
      </c>
    </row>
    <row r="581" spans="1:2" x14ac:dyDescent="0.3">
      <c r="A581" s="2" t="s">
        <v>155</v>
      </c>
      <c r="B581" s="76">
        <v>206.76636269391966</v>
      </c>
    </row>
    <row r="582" spans="1:2" x14ac:dyDescent="0.3">
      <c r="A582" s="2" t="s">
        <v>155</v>
      </c>
      <c r="B582" s="76">
        <v>93.468464691857704</v>
      </c>
    </row>
    <row r="583" spans="1:2" x14ac:dyDescent="0.3">
      <c r="A583" s="2" t="s">
        <v>155</v>
      </c>
      <c r="B583" s="76">
        <v>138.39907622445651</v>
      </c>
    </row>
    <row r="584" spans="1:2" x14ac:dyDescent="0.3">
      <c r="A584" s="2" t="s">
        <v>155</v>
      </c>
      <c r="B584" s="76">
        <v>53.823031034736417</v>
      </c>
    </row>
    <row r="585" spans="1:2" x14ac:dyDescent="0.3">
      <c r="A585" s="2" t="s">
        <v>155</v>
      </c>
      <c r="B585" s="76">
        <v>169.22672440316123</v>
      </c>
    </row>
    <row r="586" spans="1:2" x14ac:dyDescent="0.3">
      <c r="A586" s="2" t="s">
        <v>155</v>
      </c>
      <c r="B586" s="76">
        <v>100.15540479617648</v>
      </c>
    </row>
    <row r="587" spans="1:2" x14ac:dyDescent="0.3">
      <c r="A587" s="2" t="s">
        <v>155</v>
      </c>
      <c r="B587" s="76">
        <v>75.919625503958201</v>
      </c>
    </row>
    <row r="588" spans="1:2" x14ac:dyDescent="0.3">
      <c r="A588" s="2" t="s">
        <v>155</v>
      </c>
      <c r="B588" s="76">
        <v>29.349172169772711</v>
      </c>
    </row>
    <row r="589" spans="1:2" x14ac:dyDescent="0.3">
      <c r="A589" s="2" t="s">
        <v>155</v>
      </c>
      <c r="B589" s="76">
        <v>116.54812705121343</v>
      </c>
    </row>
    <row r="590" spans="1:2" x14ac:dyDescent="0.3">
      <c r="A590" s="2" t="s">
        <v>155</v>
      </c>
      <c r="B590" s="76">
        <v>121.48913357677657</v>
      </c>
    </row>
    <row r="591" spans="1:2" x14ac:dyDescent="0.3">
      <c r="A591" s="2" t="s">
        <v>155</v>
      </c>
      <c r="B591" s="76">
        <v>50.059561221684163</v>
      </c>
    </row>
    <row r="592" spans="1:2" x14ac:dyDescent="0.3">
      <c r="A592" s="2" t="s">
        <v>155</v>
      </c>
      <c r="B592" s="76">
        <v>52.226583023889077</v>
      </c>
    </row>
    <row r="593" spans="1:2" x14ac:dyDescent="0.3">
      <c r="A593" s="2" t="s">
        <v>155</v>
      </c>
      <c r="B593" s="76">
        <v>53.238212471285358</v>
      </c>
    </row>
    <row r="594" spans="1:2" x14ac:dyDescent="0.3">
      <c r="A594" s="2" t="s">
        <v>155</v>
      </c>
      <c r="B594" s="76">
        <v>217.66906133001171</v>
      </c>
    </row>
    <row r="595" spans="1:2" x14ac:dyDescent="0.3">
      <c r="A595" s="2" t="s">
        <v>155</v>
      </c>
      <c r="B595" s="76">
        <v>224.34751919658433</v>
      </c>
    </row>
    <row r="596" spans="1:2" x14ac:dyDescent="0.3">
      <c r="A596" s="2" t="s">
        <v>155</v>
      </c>
      <c r="B596" s="76">
        <v>46.724555049537784</v>
      </c>
    </row>
    <row r="597" spans="1:2" x14ac:dyDescent="0.3">
      <c r="A597" s="2" t="s">
        <v>155</v>
      </c>
      <c r="B597" s="76">
        <v>160.66980897900768</v>
      </c>
    </row>
    <row r="598" spans="1:2" x14ac:dyDescent="0.3">
      <c r="A598" s="2" t="s">
        <v>155</v>
      </c>
      <c r="B598" s="76">
        <v>21.450731875164582</v>
      </c>
    </row>
    <row r="599" spans="1:2" x14ac:dyDescent="0.3">
      <c r="A599" s="2" t="s">
        <v>155</v>
      </c>
      <c r="B599" s="76">
        <v>30.809496266830092</v>
      </c>
    </row>
    <row r="600" spans="1:2" x14ac:dyDescent="0.3">
      <c r="A600" s="2" t="s">
        <v>155</v>
      </c>
      <c r="B600" s="76">
        <v>33.68665092677378</v>
      </c>
    </row>
    <row r="601" spans="1:2" x14ac:dyDescent="0.3">
      <c r="A601" s="2" t="s">
        <v>155</v>
      </c>
      <c r="B601" s="76">
        <v>53.205924423500988</v>
      </c>
    </row>
    <row r="602" spans="1:2" x14ac:dyDescent="0.3">
      <c r="A602" s="2" t="s">
        <v>155</v>
      </c>
      <c r="B602" s="76">
        <v>37.393249368249954</v>
      </c>
    </row>
    <row r="603" spans="1:2" x14ac:dyDescent="0.3">
      <c r="A603" s="2" t="s">
        <v>155</v>
      </c>
      <c r="B603" s="76">
        <v>39.329049626841126</v>
      </c>
    </row>
    <row r="604" spans="1:2" x14ac:dyDescent="0.3">
      <c r="A604" s="2" t="s">
        <v>155</v>
      </c>
      <c r="B604" s="76">
        <v>13.843385541505667</v>
      </c>
    </row>
    <row r="605" spans="1:2" x14ac:dyDescent="0.3">
      <c r="A605" s="2" t="s">
        <v>155</v>
      </c>
      <c r="B605" s="76">
        <v>49.436242415326468</v>
      </c>
    </row>
    <row r="606" spans="1:2" x14ac:dyDescent="0.3">
      <c r="A606" s="2" t="s">
        <v>155</v>
      </c>
      <c r="B606" s="76">
        <v>44.415111751629418</v>
      </c>
    </row>
    <row r="607" spans="1:2" x14ac:dyDescent="0.3">
      <c r="A607" s="2" t="s">
        <v>155</v>
      </c>
      <c r="B607" s="76">
        <v>56.586484262219059</v>
      </c>
    </row>
    <row r="608" spans="1:2" x14ac:dyDescent="0.3">
      <c r="A608" s="2" t="s">
        <v>155</v>
      </c>
      <c r="B608" s="76">
        <v>47.033399510648863</v>
      </c>
    </row>
    <row r="609" spans="1:2" x14ac:dyDescent="0.3">
      <c r="A609" s="2" t="s">
        <v>155</v>
      </c>
      <c r="B609" s="76">
        <v>22.07248418832577</v>
      </c>
    </row>
    <row r="610" spans="1:2" x14ac:dyDescent="0.3">
      <c r="A610" s="2" t="s">
        <v>155</v>
      </c>
      <c r="B610" s="76">
        <v>53.149467496722004</v>
      </c>
    </row>
    <row r="611" spans="1:2" x14ac:dyDescent="0.3">
      <c r="A611" s="2" t="s">
        <v>155</v>
      </c>
      <c r="B611" s="76">
        <v>82.704910978562808</v>
      </c>
    </row>
    <row r="612" spans="1:2" x14ac:dyDescent="0.3">
      <c r="A612" s="2" t="s">
        <v>155</v>
      </c>
      <c r="B612" s="76">
        <v>73.528569914981659</v>
      </c>
    </row>
    <row r="613" spans="1:2" x14ac:dyDescent="0.3">
      <c r="A613" s="2" t="s">
        <v>155</v>
      </c>
      <c r="B613" s="76">
        <v>47.155126535749247</v>
      </c>
    </row>
    <row r="614" spans="1:2" x14ac:dyDescent="0.3">
      <c r="A614" s="2" t="s">
        <v>155</v>
      </c>
      <c r="B614" s="76">
        <v>73.542705754276597</v>
      </c>
    </row>
    <row r="615" spans="1:2" x14ac:dyDescent="0.3">
      <c r="A615" s="2" t="s">
        <v>155</v>
      </c>
      <c r="B615" s="76">
        <v>173.92645011025255</v>
      </c>
    </row>
    <row r="616" spans="1:2" x14ac:dyDescent="0.3">
      <c r="A616" s="2" t="s">
        <v>155</v>
      </c>
      <c r="B616" s="76">
        <v>64.069030475006201</v>
      </c>
    </row>
    <row r="617" spans="1:2" x14ac:dyDescent="0.3">
      <c r="A617" s="2" t="s">
        <v>155</v>
      </c>
      <c r="B617" s="76">
        <v>96.313325356626962</v>
      </c>
    </row>
    <row r="618" spans="1:2" x14ac:dyDescent="0.3">
      <c r="A618" s="2" t="s">
        <v>155</v>
      </c>
      <c r="B618" s="76">
        <v>32.212328329531104</v>
      </c>
    </row>
    <row r="619" spans="1:2" x14ac:dyDescent="0.3">
      <c r="A619" s="2" t="s">
        <v>155</v>
      </c>
      <c r="B619" s="76">
        <v>32.486755724915824</v>
      </c>
    </row>
    <row r="620" spans="1:2" x14ac:dyDescent="0.3">
      <c r="A620" s="2" t="s">
        <v>155</v>
      </c>
      <c r="B620" s="76">
        <v>41.570556397060486</v>
      </c>
    </row>
    <row r="621" spans="1:2" x14ac:dyDescent="0.3">
      <c r="A621" s="2" t="s">
        <v>155</v>
      </c>
      <c r="B621" s="76">
        <v>51.648450291631839</v>
      </c>
    </row>
    <row r="622" spans="1:2" x14ac:dyDescent="0.3">
      <c r="A622" s="2" t="s">
        <v>155</v>
      </c>
      <c r="B622" s="76">
        <v>62.544654320363392</v>
      </c>
    </row>
    <row r="623" spans="1:2" x14ac:dyDescent="0.3">
      <c r="A623" s="2" t="s">
        <v>155</v>
      </c>
      <c r="B623" s="76">
        <v>59.731894624799722</v>
      </c>
    </row>
    <row r="624" spans="1:2" x14ac:dyDescent="0.3">
      <c r="A624" s="2" t="s">
        <v>155</v>
      </c>
      <c r="B624" s="76">
        <v>45.7601308317277</v>
      </c>
    </row>
    <row r="625" spans="1:2" x14ac:dyDescent="0.3">
      <c r="A625" s="2" t="s">
        <v>155</v>
      </c>
      <c r="B625" s="76">
        <v>67.162441968606117</v>
      </c>
    </row>
    <row r="626" spans="1:2" x14ac:dyDescent="0.3">
      <c r="A626" s="2" t="s">
        <v>155</v>
      </c>
      <c r="B626" s="76">
        <v>52.267042953778194</v>
      </c>
    </row>
    <row r="627" spans="1:2" x14ac:dyDescent="0.3">
      <c r="A627" s="2" t="s">
        <v>155</v>
      </c>
      <c r="B627" s="76">
        <v>94.377420043817139</v>
      </c>
    </row>
    <row r="628" spans="1:2" x14ac:dyDescent="0.3">
      <c r="A628" s="2" t="s">
        <v>155</v>
      </c>
      <c r="B628" s="76">
        <v>278.48344451443529</v>
      </c>
    </row>
    <row r="629" spans="1:2" x14ac:dyDescent="0.3">
      <c r="A629" s="2" t="s">
        <v>155</v>
      </c>
      <c r="B629" s="76">
        <v>78.616145747965604</v>
      </c>
    </row>
    <row r="630" spans="1:2" x14ac:dyDescent="0.3">
      <c r="A630" s="2" t="s">
        <v>155</v>
      </c>
      <c r="B630" s="76">
        <v>124.94006305756919</v>
      </c>
    </row>
    <row r="631" spans="1:2" x14ac:dyDescent="0.3">
      <c r="A631" s="2" t="s">
        <v>155</v>
      </c>
      <c r="B631" s="76">
        <v>195.73196494423371</v>
      </c>
    </row>
    <row r="632" spans="1:2" x14ac:dyDescent="0.3">
      <c r="A632" s="2" t="s">
        <v>155</v>
      </c>
      <c r="B632" s="76">
        <v>49.017861542719849</v>
      </c>
    </row>
    <row r="633" spans="1:2" x14ac:dyDescent="0.3">
      <c r="A633" s="2" t="s">
        <v>155</v>
      </c>
      <c r="B633" s="76">
        <v>38.967033432307588</v>
      </c>
    </row>
    <row r="634" spans="1:2" x14ac:dyDescent="0.3">
      <c r="A634" s="2" t="s">
        <v>155</v>
      </c>
      <c r="B634" s="76">
        <v>47.331361483965239</v>
      </c>
    </row>
    <row r="635" spans="1:2" x14ac:dyDescent="0.3">
      <c r="A635" s="2" t="s">
        <v>155</v>
      </c>
      <c r="B635" s="76">
        <v>114.43127533021973</v>
      </c>
    </row>
    <row r="636" spans="1:2" x14ac:dyDescent="0.3">
      <c r="A636" s="2" t="s">
        <v>155</v>
      </c>
      <c r="B636" s="76">
        <v>141.22896600706767</v>
      </c>
    </row>
    <row r="637" spans="1:2" x14ac:dyDescent="0.3">
      <c r="A637" s="2" t="s">
        <v>155</v>
      </c>
      <c r="B637" s="76">
        <v>37.139026396509038</v>
      </c>
    </row>
    <row r="638" spans="1:2" x14ac:dyDescent="0.3">
      <c r="A638" s="2" t="s">
        <v>155</v>
      </c>
      <c r="B638" s="76">
        <v>101.65679572469709</v>
      </c>
    </row>
    <row r="639" spans="1:2" x14ac:dyDescent="0.3">
      <c r="A639" s="2" t="s">
        <v>155</v>
      </c>
      <c r="B639" s="76">
        <v>42.060419543499677</v>
      </c>
    </row>
    <row r="640" spans="1:2" x14ac:dyDescent="0.3">
      <c r="A640" s="2" t="s">
        <v>155</v>
      </c>
      <c r="B640" s="76">
        <v>180.75814264914587</v>
      </c>
    </row>
    <row r="641" spans="1:2" x14ac:dyDescent="0.3">
      <c r="A641" s="2" t="s">
        <v>155</v>
      </c>
      <c r="B641" s="76">
        <v>220.78846970540772</v>
      </c>
    </row>
    <row r="642" spans="1:2" x14ac:dyDescent="0.3">
      <c r="A642" s="2" t="s">
        <v>155</v>
      </c>
      <c r="B642" s="76">
        <v>198.85633123630345</v>
      </c>
    </row>
    <row r="643" spans="1:2" x14ac:dyDescent="0.3">
      <c r="A643" s="2" t="s">
        <v>155</v>
      </c>
      <c r="B643" s="76">
        <v>127.93822863509165</v>
      </c>
    </row>
    <row r="644" spans="1:2" x14ac:dyDescent="0.3">
      <c r="A644" s="2" t="s">
        <v>155</v>
      </c>
      <c r="B644" s="76">
        <v>95.509005216350289</v>
      </c>
    </row>
    <row r="645" spans="1:2" x14ac:dyDescent="0.3">
      <c r="A645" s="2" t="s">
        <v>155</v>
      </c>
      <c r="B645" s="76">
        <v>269.3499012533162</v>
      </c>
    </row>
    <row r="646" spans="1:2" x14ac:dyDescent="0.3">
      <c r="A646" s="2" t="s">
        <v>155</v>
      </c>
      <c r="B646" s="76">
        <v>516.81003094250354</v>
      </c>
    </row>
    <row r="647" spans="1:2" x14ac:dyDescent="0.3">
      <c r="A647" s="2" t="s">
        <v>155</v>
      </c>
      <c r="B647" s="76">
        <v>60.389994146942342</v>
      </c>
    </row>
    <row r="648" spans="1:2" x14ac:dyDescent="0.3">
      <c r="A648" s="2" t="s">
        <v>155</v>
      </c>
      <c r="B648" s="76">
        <v>175.49391333885745</v>
      </c>
    </row>
    <row r="649" spans="1:2" x14ac:dyDescent="0.3">
      <c r="A649" s="2" t="s">
        <v>155</v>
      </c>
      <c r="B649" s="76">
        <v>58.682250152619801</v>
      </c>
    </row>
    <row r="650" spans="1:2" x14ac:dyDescent="0.3">
      <c r="A650" s="2" t="s">
        <v>155</v>
      </c>
      <c r="B650" s="76">
        <v>96.437222959735195</v>
      </c>
    </row>
    <row r="651" spans="1:2" x14ac:dyDescent="0.3">
      <c r="A651" s="2" t="s">
        <v>155</v>
      </c>
      <c r="B651" s="76">
        <v>187.68584034807049</v>
      </c>
    </row>
    <row r="652" spans="1:2" x14ac:dyDescent="0.3">
      <c r="A652" s="2" t="s">
        <v>155</v>
      </c>
      <c r="B652" s="76">
        <v>173.98014254060726</v>
      </c>
    </row>
    <row r="653" spans="1:2" x14ac:dyDescent="0.3">
      <c r="A653" s="2" t="s">
        <v>155</v>
      </c>
      <c r="B653" s="76">
        <v>149.39610058097563</v>
      </c>
    </row>
    <row r="654" spans="1:2" x14ac:dyDescent="0.3">
      <c r="A654" s="2" t="s">
        <v>155</v>
      </c>
      <c r="B654" s="76">
        <v>72.404520854523639</v>
      </c>
    </row>
    <row r="655" spans="1:2" x14ac:dyDescent="0.3">
      <c r="A655" s="2" t="s">
        <v>155</v>
      </c>
      <c r="B655" s="76">
        <v>252.25778718838637</v>
      </c>
    </row>
    <row r="656" spans="1:2" x14ac:dyDescent="0.3">
      <c r="A656" s="2" t="s">
        <v>155</v>
      </c>
      <c r="B656" s="76">
        <v>94.701696089932511</v>
      </c>
    </row>
    <row r="657" spans="1:2" x14ac:dyDescent="0.3">
      <c r="A657" s="2" t="s">
        <v>155</v>
      </c>
      <c r="B657" s="76">
        <v>48.542699145954231</v>
      </c>
    </row>
    <row r="658" spans="1:2" x14ac:dyDescent="0.3">
      <c r="A658" s="2" t="s">
        <v>155</v>
      </c>
      <c r="B658" s="76">
        <v>91.705713182981071</v>
      </c>
    </row>
    <row r="659" spans="1:2" x14ac:dyDescent="0.3">
      <c r="A659" s="2" t="s">
        <v>155</v>
      </c>
      <c r="B659" s="76">
        <v>18.743423170454584</v>
      </c>
    </row>
    <row r="660" spans="1:2" x14ac:dyDescent="0.3">
      <c r="A660" s="2" t="s">
        <v>155</v>
      </c>
      <c r="B660" s="76">
        <v>156.96345458332061</v>
      </c>
    </row>
    <row r="661" spans="1:2" x14ac:dyDescent="0.3">
      <c r="A661" s="2" t="s">
        <v>155</v>
      </c>
      <c r="B661" s="76">
        <v>279.25712743219509</v>
      </c>
    </row>
    <row r="662" spans="1:2" x14ac:dyDescent="0.3">
      <c r="A662" s="2" t="s">
        <v>155</v>
      </c>
      <c r="B662" s="76">
        <v>398.63085541186723</v>
      </c>
    </row>
    <row r="663" spans="1:2" x14ac:dyDescent="0.3">
      <c r="A663" s="2" t="s">
        <v>155</v>
      </c>
      <c r="B663" s="76">
        <v>56.215086609727123</v>
      </c>
    </row>
    <row r="664" spans="1:2" x14ac:dyDescent="0.3">
      <c r="A664" s="2" t="s">
        <v>155</v>
      </c>
      <c r="B664" s="76">
        <v>205.17555869038333</v>
      </c>
    </row>
    <row r="665" spans="1:2" x14ac:dyDescent="0.3">
      <c r="A665" s="2" t="s">
        <v>155</v>
      </c>
      <c r="B665" s="76">
        <v>512.9045002617778</v>
      </c>
    </row>
    <row r="666" spans="1:2" x14ac:dyDescent="0.3">
      <c r="A666" s="2" t="s">
        <v>155</v>
      </c>
      <c r="B666" s="76">
        <v>639.66911453192836</v>
      </c>
    </row>
    <row r="667" spans="1:2" x14ac:dyDescent="0.3">
      <c r="A667" s="2" t="s">
        <v>155</v>
      </c>
      <c r="B667" s="76">
        <v>444.23078649597579</v>
      </c>
    </row>
    <row r="668" spans="1:2" x14ac:dyDescent="0.3">
      <c r="A668" s="2" t="s">
        <v>155</v>
      </c>
      <c r="B668" s="76">
        <v>130.14528788855191</v>
      </c>
    </row>
    <row r="669" spans="1:2" x14ac:dyDescent="0.3">
      <c r="A669" s="2" t="s">
        <v>155</v>
      </c>
      <c r="B669" s="76">
        <v>359.53622144956159</v>
      </c>
    </row>
    <row r="670" spans="1:2" x14ac:dyDescent="0.3">
      <c r="A670" s="2" t="s">
        <v>155</v>
      </c>
      <c r="B670" s="76">
        <v>268.18099567729178</v>
      </c>
    </row>
    <row r="671" spans="1:2" x14ac:dyDescent="0.3">
      <c r="A671" s="2" t="s">
        <v>155</v>
      </c>
      <c r="B671" s="76">
        <v>75.311574022789912</v>
      </c>
    </row>
    <row r="672" spans="1:2" x14ac:dyDescent="0.3">
      <c r="A672" s="2" t="s">
        <v>155</v>
      </c>
      <c r="B672" s="76">
        <v>156.06887173848568</v>
      </c>
    </row>
    <row r="673" spans="1:2" x14ac:dyDescent="0.3">
      <c r="A673" s="2" t="s">
        <v>155</v>
      </c>
      <c r="B673" s="76">
        <v>205.36392328584037</v>
      </c>
    </row>
    <row r="674" spans="1:2" x14ac:dyDescent="0.3">
      <c r="A674" s="2" t="s">
        <v>155</v>
      </c>
      <c r="B674" s="76">
        <v>128.19405563521292</v>
      </c>
    </row>
    <row r="675" spans="1:2" x14ac:dyDescent="0.3">
      <c r="A675" s="2" t="s">
        <v>155</v>
      </c>
      <c r="B675" s="76">
        <v>55.539691959815336</v>
      </c>
    </row>
    <row r="676" spans="1:2" x14ac:dyDescent="0.3">
      <c r="A676" s="2" t="s">
        <v>155</v>
      </c>
      <c r="B676" s="76">
        <v>190.96905463761658</v>
      </c>
    </row>
    <row r="677" spans="1:2" x14ac:dyDescent="0.3">
      <c r="A677" s="2" t="s">
        <v>155</v>
      </c>
      <c r="B677" s="76">
        <v>91.834328245872172</v>
      </c>
    </row>
    <row r="678" spans="1:2" x14ac:dyDescent="0.3">
      <c r="A678" s="2" t="s">
        <v>155</v>
      </c>
      <c r="B678" s="76">
        <v>465.9369876225266</v>
      </c>
    </row>
    <row r="679" spans="1:2" x14ac:dyDescent="0.3">
      <c r="A679" s="2" t="s">
        <v>155</v>
      </c>
      <c r="B679" s="76">
        <v>375.28051998515804</v>
      </c>
    </row>
    <row r="680" spans="1:2" x14ac:dyDescent="0.3">
      <c r="A680" s="2" t="s">
        <v>155</v>
      </c>
      <c r="B680" s="76">
        <v>531.63012879925759</v>
      </c>
    </row>
    <row r="681" spans="1:2" x14ac:dyDescent="0.3">
      <c r="A681" s="2" t="s">
        <v>155</v>
      </c>
      <c r="B681" s="76">
        <v>418.26606836735533</v>
      </c>
    </row>
    <row r="682" spans="1:2" x14ac:dyDescent="0.3">
      <c r="A682" s="2" t="s">
        <v>155</v>
      </c>
      <c r="B682" s="76">
        <v>260.03959538099605</v>
      </c>
    </row>
    <row r="683" spans="1:2" x14ac:dyDescent="0.3">
      <c r="A683" s="2" t="s">
        <v>155</v>
      </c>
      <c r="B683" s="76">
        <v>430.63075389855419</v>
      </c>
    </row>
    <row r="684" spans="1:2" x14ac:dyDescent="0.3">
      <c r="A684" s="2" t="s">
        <v>155</v>
      </c>
      <c r="B684" s="76">
        <v>89.796410063256843</v>
      </c>
    </row>
    <row r="685" spans="1:2" x14ac:dyDescent="0.3">
      <c r="A685" s="2" t="s">
        <v>155</v>
      </c>
      <c r="B685" s="76">
        <v>62.511281147770461</v>
      </c>
    </row>
    <row r="686" spans="1:2" x14ac:dyDescent="0.3">
      <c r="A686" s="2" t="s">
        <v>155</v>
      </c>
      <c r="B686" s="76">
        <v>68.876911429390475</v>
      </c>
    </row>
    <row r="687" spans="1:2" x14ac:dyDescent="0.3">
      <c r="A687" s="2" t="s">
        <v>155</v>
      </c>
      <c r="B687" s="76">
        <v>179.24770762276265</v>
      </c>
    </row>
    <row r="688" spans="1:2" x14ac:dyDescent="0.3">
      <c r="A688" s="2" t="s">
        <v>155</v>
      </c>
      <c r="B688" s="76">
        <v>45.287155765706899</v>
      </c>
    </row>
    <row r="689" spans="1:2" x14ac:dyDescent="0.3">
      <c r="A689" s="2" t="s">
        <v>155</v>
      </c>
      <c r="B689" s="76">
        <v>98.280647578817252</v>
      </c>
    </row>
    <row r="690" spans="1:2" x14ac:dyDescent="0.3">
      <c r="A690" s="2" t="s">
        <v>155</v>
      </c>
      <c r="B690" s="76">
        <v>255.46945884967622</v>
      </c>
    </row>
    <row r="691" spans="1:2" x14ac:dyDescent="0.3">
      <c r="A691" s="2" t="s">
        <v>155</v>
      </c>
      <c r="B691" s="76">
        <v>55.772264468045975</v>
      </c>
    </row>
    <row r="692" spans="1:2" x14ac:dyDescent="0.3">
      <c r="A692" s="2" t="s">
        <v>155</v>
      </c>
      <c r="B692" s="76">
        <v>131.33159075323778</v>
      </c>
    </row>
    <row r="693" spans="1:2" x14ac:dyDescent="0.3">
      <c r="A693" s="2" t="s">
        <v>155</v>
      </c>
      <c r="B693" s="76">
        <v>117.13831691379083</v>
      </c>
    </row>
    <row r="694" spans="1:2" x14ac:dyDescent="0.3">
      <c r="A694" s="2" t="s">
        <v>155</v>
      </c>
      <c r="B694" s="76">
        <v>72.421246939961222</v>
      </c>
    </row>
    <row r="695" spans="1:2" x14ac:dyDescent="0.3">
      <c r="A695" s="2" t="s">
        <v>155</v>
      </c>
      <c r="B695" s="76">
        <v>96.621475694096503</v>
      </c>
    </row>
    <row r="696" spans="1:2" x14ac:dyDescent="0.3">
      <c r="A696" s="2" t="s">
        <v>155</v>
      </c>
      <c r="B696" s="76">
        <v>222.07381546551636</v>
      </c>
    </row>
    <row r="697" spans="1:2" x14ac:dyDescent="0.3">
      <c r="A697" s="2" t="s">
        <v>155</v>
      </c>
      <c r="B697" s="76">
        <v>57.630022196569826</v>
      </c>
    </row>
    <row r="698" spans="1:2" x14ac:dyDescent="0.3">
      <c r="A698" s="2" t="s">
        <v>155</v>
      </c>
      <c r="B698" s="76">
        <v>195.18636289217085</v>
      </c>
    </row>
    <row r="699" spans="1:2" x14ac:dyDescent="0.3">
      <c r="A699" s="2" t="s">
        <v>155</v>
      </c>
      <c r="B699" s="76">
        <v>182.47975058992478</v>
      </c>
    </row>
    <row r="700" spans="1:2" x14ac:dyDescent="0.3">
      <c r="A700" s="2" t="s">
        <v>155</v>
      </c>
      <c r="B700" s="76">
        <v>276.87767477597674</v>
      </c>
    </row>
    <row r="701" spans="1:2" x14ac:dyDescent="0.3">
      <c r="A701" s="2" t="s">
        <v>155</v>
      </c>
      <c r="B701" s="76">
        <v>397.61253360175448</v>
      </c>
    </row>
    <row r="702" spans="1:2" x14ac:dyDescent="0.3">
      <c r="A702" s="2" t="s">
        <v>155</v>
      </c>
      <c r="B702" s="76">
        <v>98.482828709726491</v>
      </c>
    </row>
    <row r="703" spans="1:2" x14ac:dyDescent="0.3">
      <c r="A703" s="2" t="s">
        <v>155</v>
      </c>
      <c r="B703" s="76">
        <v>112.03777379423182</v>
      </c>
    </row>
    <row r="704" spans="1:2" x14ac:dyDescent="0.3">
      <c r="A704" s="2" t="s">
        <v>155</v>
      </c>
      <c r="B704" s="76">
        <v>100.14469053055431</v>
      </c>
    </row>
    <row r="705" spans="1:2" x14ac:dyDescent="0.3">
      <c r="A705" s="2" t="s">
        <v>155</v>
      </c>
      <c r="B705" s="76">
        <v>145.29184996165822</v>
      </c>
    </row>
    <row r="706" spans="1:2" x14ac:dyDescent="0.3">
      <c r="A706" s="2" t="s">
        <v>155</v>
      </c>
      <c r="B706" s="76">
        <v>748.48047290197155</v>
      </c>
    </row>
    <row r="707" spans="1:2" x14ac:dyDescent="0.3">
      <c r="A707" s="2" t="s">
        <v>155</v>
      </c>
      <c r="B707" s="76">
        <v>232.40453237614614</v>
      </c>
    </row>
    <row r="708" spans="1:2" x14ac:dyDescent="0.3">
      <c r="A708" s="2" t="s">
        <v>155</v>
      </c>
      <c r="B708" s="76">
        <v>130.86608455565636</v>
      </c>
    </row>
    <row r="709" spans="1:2" x14ac:dyDescent="0.3">
      <c r="A709" s="2" t="s">
        <v>155</v>
      </c>
      <c r="B709" s="76">
        <v>80.098178248135198</v>
      </c>
    </row>
    <row r="710" spans="1:2" x14ac:dyDescent="0.3">
      <c r="A710" s="2" t="s">
        <v>155</v>
      </c>
      <c r="B710" s="76">
        <v>126.28983670346861</v>
      </c>
    </row>
    <row r="711" spans="1:2" x14ac:dyDescent="0.3">
      <c r="A711" s="2" t="s">
        <v>155</v>
      </c>
      <c r="B711" s="76">
        <v>190.26869668458679</v>
      </c>
    </row>
    <row r="712" spans="1:2" x14ac:dyDescent="0.3">
      <c r="A712" s="2" t="s">
        <v>155</v>
      </c>
      <c r="B712" s="76">
        <v>98.248221512566232</v>
      </c>
    </row>
    <row r="713" spans="1:2" x14ac:dyDescent="0.3">
      <c r="A713" s="2" t="s">
        <v>155</v>
      </c>
      <c r="B713" s="76">
        <v>77.335483570311951</v>
      </c>
    </row>
    <row r="714" spans="1:2" x14ac:dyDescent="0.3">
      <c r="A714" s="2" t="s">
        <v>156</v>
      </c>
      <c r="B714" s="76">
        <v>79.535445323428576</v>
      </c>
    </row>
    <row r="715" spans="1:2" x14ac:dyDescent="0.3">
      <c r="A715" s="2" t="s">
        <v>156</v>
      </c>
      <c r="B715" s="76">
        <v>609.29680230927852</v>
      </c>
    </row>
    <row r="716" spans="1:2" x14ac:dyDescent="0.3">
      <c r="A716" s="2" t="s">
        <v>156</v>
      </c>
      <c r="B716" s="76">
        <v>759.66725819076908</v>
      </c>
    </row>
    <row r="717" spans="1:2" x14ac:dyDescent="0.3">
      <c r="A717" s="2" t="s">
        <v>156</v>
      </c>
      <c r="B717" s="76">
        <v>308.01611376795586</v>
      </c>
    </row>
    <row r="718" spans="1:2" x14ac:dyDescent="0.3">
      <c r="A718" s="2" t="s">
        <v>156</v>
      </c>
      <c r="B718" s="76">
        <v>92.189271662531027</v>
      </c>
    </row>
    <row r="719" spans="1:2" x14ac:dyDescent="0.3">
      <c r="A719" s="2" t="s">
        <v>156</v>
      </c>
      <c r="B719" s="76">
        <v>60.830243713114754</v>
      </c>
    </row>
    <row r="720" spans="1:2" x14ac:dyDescent="0.3">
      <c r="A720" s="2" t="s">
        <v>156</v>
      </c>
      <c r="B720" s="76">
        <v>47.948269846153842</v>
      </c>
    </row>
    <row r="721" spans="1:2" x14ac:dyDescent="0.3">
      <c r="A721" s="2" t="s">
        <v>156</v>
      </c>
      <c r="B721" s="76">
        <v>104.15791812260537</v>
      </c>
    </row>
    <row r="722" spans="1:2" x14ac:dyDescent="0.3">
      <c r="A722" s="2" t="s">
        <v>156</v>
      </c>
      <c r="B722" s="76">
        <v>139.21567694845359</v>
      </c>
    </row>
    <row r="723" spans="1:2" x14ac:dyDescent="0.3">
      <c r="A723" s="2" t="s">
        <v>156</v>
      </c>
      <c r="B723" s="76">
        <v>98.433813333333319</v>
      </c>
    </row>
    <row r="724" spans="1:2" x14ac:dyDescent="0.3">
      <c r="A724" s="2" t="s">
        <v>156</v>
      </c>
      <c r="B724" s="76">
        <v>48.07721325</v>
      </c>
    </row>
    <row r="725" spans="1:2" x14ac:dyDescent="0.3">
      <c r="A725" s="2" t="s">
        <v>156</v>
      </c>
      <c r="B725" s="76">
        <v>153.41310900000005</v>
      </c>
    </row>
    <row r="726" spans="1:2" x14ac:dyDescent="0.3">
      <c r="A726" s="2" t="s">
        <v>156</v>
      </c>
      <c r="B726" s="76">
        <v>143.21871448000002</v>
      </c>
    </row>
    <row r="727" spans="1:2" x14ac:dyDescent="0.3">
      <c r="A727" s="2" t="s">
        <v>156</v>
      </c>
      <c r="B727" s="76">
        <v>102.83752939162014</v>
      </c>
    </row>
    <row r="728" spans="1:2" x14ac:dyDescent="0.3">
      <c r="A728" s="2" t="s">
        <v>156</v>
      </c>
      <c r="B728" s="76">
        <v>75.948617142857131</v>
      </c>
    </row>
    <row r="729" spans="1:2" x14ac:dyDescent="0.3">
      <c r="A729" s="2" t="s">
        <v>156</v>
      </c>
      <c r="B729" s="76">
        <v>54.970107156250002</v>
      </c>
    </row>
    <row r="730" spans="1:2" x14ac:dyDescent="0.3">
      <c r="A730" s="2" t="s">
        <v>156</v>
      </c>
      <c r="B730" s="76">
        <v>169.41648378329569</v>
      </c>
    </row>
    <row r="731" spans="1:2" x14ac:dyDescent="0.3">
      <c r="A731" s="2" t="s">
        <v>156</v>
      </c>
      <c r="B731" s="76">
        <v>27.088549859154931</v>
      </c>
    </row>
    <row r="732" spans="1:2" x14ac:dyDescent="0.3">
      <c r="A732" s="2" t="s">
        <v>156</v>
      </c>
      <c r="B732" s="76">
        <v>95.181051625316456</v>
      </c>
    </row>
    <row r="733" spans="1:2" x14ac:dyDescent="0.3">
      <c r="A733" s="2" t="s">
        <v>156</v>
      </c>
      <c r="B733" s="76">
        <v>90.663248361538464</v>
      </c>
    </row>
    <row r="734" spans="1:2" x14ac:dyDescent="0.3">
      <c r="A734" s="2" t="s">
        <v>156</v>
      </c>
      <c r="B734" s="76">
        <v>62.694325312499984</v>
      </c>
    </row>
    <row r="735" spans="1:2" x14ac:dyDescent="0.3">
      <c r="A735" s="2" t="s">
        <v>156</v>
      </c>
      <c r="B735" s="76">
        <v>66.419914573913047</v>
      </c>
    </row>
    <row r="736" spans="1:2" x14ac:dyDescent="0.3">
      <c r="A736" s="2" t="s">
        <v>156</v>
      </c>
      <c r="B736" s="76">
        <v>73.728526567499998</v>
      </c>
    </row>
    <row r="737" spans="1:2" x14ac:dyDescent="0.3">
      <c r="A737" s="2" t="s">
        <v>156</v>
      </c>
      <c r="B737" s="76">
        <v>33.123684000000004</v>
      </c>
    </row>
    <row r="738" spans="1:2" x14ac:dyDescent="0.3">
      <c r="A738" s="2" t="s">
        <v>156</v>
      </c>
      <c r="B738" s="76">
        <v>54.465827569852941</v>
      </c>
    </row>
    <row r="739" spans="1:2" x14ac:dyDescent="0.3">
      <c r="A739" s="2" t="s">
        <v>156</v>
      </c>
      <c r="B739" s="76">
        <v>76.381935023571415</v>
      </c>
    </row>
    <row r="740" spans="1:2" x14ac:dyDescent="0.3">
      <c r="A740" s="2" t="s">
        <v>156</v>
      </c>
      <c r="B740" s="76">
        <v>47.316897966873071</v>
      </c>
    </row>
    <row r="741" spans="1:2" x14ac:dyDescent="0.3">
      <c r="A741" s="2" t="s">
        <v>156</v>
      </c>
      <c r="B741" s="76">
        <v>126.04017486666669</v>
      </c>
    </row>
    <row r="742" spans="1:2" x14ac:dyDescent="0.3">
      <c r="A742" s="2" t="s">
        <v>156</v>
      </c>
      <c r="B742" s="76">
        <v>203.29102888382681</v>
      </c>
    </row>
    <row r="743" spans="1:2" x14ac:dyDescent="0.3">
      <c r="A743" s="2" t="s">
        <v>156</v>
      </c>
      <c r="B743" s="76">
        <v>43.231892869565215</v>
      </c>
    </row>
    <row r="744" spans="1:2" x14ac:dyDescent="0.3">
      <c r="A744" s="2" t="s">
        <v>156</v>
      </c>
      <c r="B744" s="76">
        <v>44.960793986547088</v>
      </c>
    </row>
    <row r="745" spans="1:2" x14ac:dyDescent="0.3">
      <c r="A745" s="2" t="s">
        <v>156</v>
      </c>
      <c r="B745" s="76">
        <v>36.120268799999998</v>
      </c>
    </row>
    <row r="746" spans="1:2" x14ac:dyDescent="0.3">
      <c r="A746" s="2" t="s">
        <v>156</v>
      </c>
      <c r="B746" s="76">
        <v>287.42793117043118</v>
      </c>
    </row>
    <row r="747" spans="1:2" x14ac:dyDescent="0.3">
      <c r="A747" s="2" t="s">
        <v>156</v>
      </c>
      <c r="B747" s="76">
        <v>92.908263093750008</v>
      </c>
    </row>
    <row r="748" spans="1:2" x14ac:dyDescent="0.3">
      <c r="A748" s="2" t="s">
        <v>156</v>
      </c>
      <c r="B748" s="76">
        <v>251.83942010917431</v>
      </c>
    </row>
    <row r="749" spans="1:2" x14ac:dyDescent="0.3">
      <c r="A749" s="2" t="s">
        <v>156</v>
      </c>
      <c r="B749" s="76">
        <v>89.705126066086962</v>
      </c>
    </row>
    <row r="750" spans="1:2" x14ac:dyDescent="0.3">
      <c r="A750" s="2" t="s">
        <v>156</v>
      </c>
      <c r="B750" s="76">
        <v>65.747025524444453</v>
      </c>
    </row>
    <row r="751" spans="1:2" x14ac:dyDescent="0.3">
      <c r="A751" s="2" t="s">
        <v>156</v>
      </c>
      <c r="B751" s="76">
        <v>64.747344999999996</v>
      </c>
    </row>
    <row r="752" spans="1:2" x14ac:dyDescent="0.3">
      <c r="A752" s="2" t="s">
        <v>156</v>
      </c>
      <c r="B752" s="76">
        <v>52.708397573626378</v>
      </c>
    </row>
    <row r="753" spans="1:2" x14ac:dyDescent="0.3">
      <c r="A753" s="2" t="s">
        <v>156</v>
      </c>
      <c r="B753" s="76">
        <v>87.396890625000012</v>
      </c>
    </row>
    <row r="754" spans="1:2" x14ac:dyDescent="0.3">
      <c r="A754" s="2" t="s">
        <v>156</v>
      </c>
      <c r="B754" s="76">
        <v>56.572355989285718</v>
      </c>
    </row>
    <row r="755" spans="1:2" x14ac:dyDescent="0.3">
      <c r="A755" s="2" t="s">
        <v>156</v>
      </c>
      <c r="B755" s="76">
        <v>87.73207958762886</v>
      </c>
    </row>
    <row r="756" spans="1:2" x14ac:dyDescent="0.3">
      <c r="A756" s="2" t="s">
        <v>156</v>
      </c>
      <c r="B756" s="76">
        <v>97.710603107142873</v>
      </c>
    </row>
    <row r="757" spans="1:2" x14ac:dyDescent="0.3">
      <c r="A757" s="2" t="s">
        <v>156</v>
      </c>
      <c r="B757" s="76">
        <v>159.05398349162013</v>
      </c>
    </row>
    <row r="758" spans="1:2" x14ac:dyDescent="0.3">
      <c r="A758" s="2" t="s">
        <v>156</v>
      </c>
      <c r="B758" s="76">
        <v>319.65177956692924</v>
      </c>
    </row>
    <row r="759" spans="1:2" x14ac:dyDescent="0.3">
      <c r="A759" s="2" t="s">
        <v>156</v>
      </c>
      <c r="B759" s="76">
        <v>232.2274984728929</v>
      </c>
    </row>
    <row r="760" spans="1:2" x14ac:dyDescent="0.3">
      <c r="A760" s="2" t="s">
        <v>156</v>
      </c>
      <c r="B760" s="76">
        <v>37.339542269662928</v>
      </c>
    </row>
    <row r="761" spans="1:2" x14ac:dyDescent="0.3">
      <c r="A761" s="2" t="s">
        <v>156</v>
      </c>
      <c r="B761" s="76">
        <v>65.766175114093954</v>
      </c>
    </row>
    <row r="762" spans="1:2" x14ac:dyDescent="0.3">
      <c r="A762" s="2" t="s">
        <v>156</v>
      </c>
      <c r="B762" s="76">
        <v>21.725948629629631</v>
      </c>
    </row>
    <row r="763" spans="1:2" x14ac:dyDescent="0.3">
      <c r="A763" s="2" t="s">
        <v>156</v>
      </c>
      <c r="B763" s="76">
        <v>98.67105777601077</v>
      </c>
    </row>
    <row r="764" spans="1:2" x14ac:dyDescent="0.3">
      <c r="A764" s="2" t="s">
        <v>156</v>
      </c>
      <c r="B764" s="76">
        <v>84.965330826683285</v>
      </c>
    </row>
    <row r="765" spans="1:2" x14ac:dyDescent="0.3">
      <c r="A765" s="2" t="s">
        <v>156</v>
      </c>
      <c r="B765" s="76">
        <v>56.140922991176467</v>
      </c>
    </row>
    <row r="766" spans="1:2" x14ac:dyDescent="0.3">
      <c r="A766" s="2" t="s">
        <v>156</v>
      </c>
      <c r="B766" s="76">
        <v>22.849545789473684</v>
      </c>
    </row>
    <row r="767" spans="1:2" x14ac:dyDescent="0.3">
      <c r="A767" s="2" t="s">
        <v>156</v>
      </c>
      <c r="B767" s="76">
        <v>208.60899544508669</v>
      </c>
    </row>
    <row r="768" spans="1:2" x14ac:dyDescent="0.3">
      <c r="A768" s="2" t="s">
        <v>156</v>
      </c>
      <c r="B768" s="76">
        <v>175.74816026842109</v>
      </c>
    </row>
    <row r="769" spans="1:2" x14ac:dyDescent="0.3">
      <c r="A769" s="2" t="s">
        <v>156</v>
      </c>
      <c r="B769" s="76">
        <v>54.73345045263158</v>
      </c>
    </row>
    <row r="770" spans="1:2" x14ac:dyDescent="0.3">
      <c r="A770" s="2" t="s">
        <v>156</v>
      </c>
      <c r="B770" s="76">
        <v>51.995327048636362</v>
      </c>
    </row>
    <row r="771" spans="1:2" x14ac:dyDescent="0.3">
      <c r="A771" s="2" t="s">
        <v>156</v>
      </c>
      <c r="B771" s="76">
        <v>38.468907705454548</v>
      </c>
    </row>
    <row r="772" spans="1:2" x14ac:dyDescent="0.3">
      <c r="A772" s="2" t="s">
        <v>156</v>
      </c>
      <c r="B772" s="76">
        <v>403.90625507240503</v>
      </c>
    </row>
    <row r="773" spans="1:2" x14ac:dyDescent="0.3">
      <c r="A773" s="2" t="s">
        <v>156</v>
      </c>
      <c r="B773" s="76">
        <v>453.21591753794269</v>
      </c>
    </row>
    <row r="774" spans="1:2" x14ac:dyDescent="0.3">
      <c r="A774" s="2" t="s">
        <v>156</v>
      </c>
      <c r="B774" s="76">
        <v>32.702365873972603</v>
      </c>
    </row>
    <row r="775" spans="1:2" x14ac:dyDescent="0.3">
      <c r="A775" s="2" t="s">
        <v>156</v>
      </c>
      <c r="B775" s="76">
        <v>259.04333400000002</v>
      </c>
    </row>
    <row r="776" spans="1:2" x14ac:dyDescent="0.3">
      <c r="A776" s="2" t="s">
        <v>156</v>
      </c>
      <c r="B776" s="76">
        <v>6.5203708744444429</v>
      </c>
    </row>
    <row r="777" spans="1:2" x14ac:dyDescent="0.3">
      <c r="A777" s="2" t="s">
        <v>156</v>
      </c>
      <c r="B777" s="76">
        <v>11.012328941284403</v>
      </c>
    </row>
    <row r="778" spans="1:2" x14ac:dyDescent="0.3">
      <c r="A778" s="2" t="s">
        <v>156</v>
      </c>
      <c r="B778" s="76">
        <v>7.7472792674698807</v>
      </c>
    </row>
    <row r="779" spans="1:2" x14ac:dyDescent="0.3">
      <c r="A779" s="2" t="s">
        <v>156</v>
      </c>
      <c r="B779" s="76">
        <v>22.263659999999998</v>
      </c>
    </row>
    <row r="780" spans="1:2" x14ac:dyDescent="0.3">
      <c r="A780" s="2" t="s">
        <v>156</v>
      </c>
      <c r="B780" s="76">
        <v>18.148612424691361</v>
      </c>
    </row>
    <row r="781" spans="1:2" x14ac:dyDescent="0.3">
      <c r="A781" s="2" t="s">
        <v>156</v>
      </c>
      <c r="B781" s="76">
        <v>11.689448275862068</v>
      </c>
    </row>
    <row r="782" spans="1:2" x14ac:dyDescent="0.3">
      <c r="A782" s="2" t="s">
        <v>156</v>
      </c>
      <c r="B782" s="76">
        <v>11.284117297297298</v>
      </c>
    </row>
    <row r="783" spans="1:2" x14ac:dyDescent="0.3">
      <c r="A783" s="2" t="s">
        <v>156</v>
      </c>
      <c r="B783" s="76">
        <v>56.460737847482008</v>
      </c>
    </row>
    <row r="784" spans="1:2" x14ac:dyDescent="0.3">
      <c r="A784" s="2" t="s">
        <v>156</v>
      </c>
      <c r="B784" s="76">
        <v>35.195657171945705</v>
      </c>
    </row>
    <row r="785" spans="1:2" x14ac:dyDescent="0.3">
      <c r="A785" s="2" t="s">
        <v>156</v>
      </c>
      <c r="B785" s="76">
        <v>52.155235551020411</v>
      </c>
    </row>
    <row r="786" spans="1:2" x14ac:dyDescent="0.3">
      <c r="A786" s="2" t="s">
        <v>156</v>
      </c>
      <c r="B786" s="76">
        <v>55.788839107537683</v>
      </c>
    </row>
    <row r="787" spans="1:2" x14ac:dyDescent="0.3">
      <c r="A787" s="2" t="s">
        <v>156</v>
      </c>
      <c r="B787" s="76">
        <v>15.928969251184835</v>
      </c>
    </row>
    <row r="788" spans="1:2" x14ac:dyDescent="0.3">
      <c r="A788" s="2" t="s">
        <v>156</v>
      </c>
      <c r="B788" s="76">
        <v>42.733693116721319</v>
      </c>
    </row>
    <row r="789" spans="1:2" x14ac:dyDescent="0.3">
      <c r="A789" s="2" t="s">
        <v>156</v>
      </c>
      <c r="B789" s="76">
        <v>67.818470892307687</v>
      </c>
    </row>
    <row r="790" spans="1:2" x14ac:dyDescent="0.3">
      <c r="A790" s="2" t="s">
        <v>156</v>
      </c>
      <c r="B790" s="76">
        <v>59.061432110447754</v>
      </c>
    </row>
    <row r="791" spans="1:2" x14ac:dyDescent="0.3">
      <c r="A791" s="2" t="s">
        <v>156</v>
      </c>
      <c r="B791" s="76">
        <v>26.596270056565661</v>
      </c>
    </row>
    <row r="792" spans="1:2" x14ac:dyDescent="0.3">
      <c r="A792" s="2" t="s">
        <v>156</v>
      </c>
      <c r="B792" s="76">
        <v>52.794171471698107</v>
      </c>
    </row>
    <row r="793" spans="1:2" x14ac:dyDescent="0.3">
      <c r="A793" s="2" t="s">
        <v>156</v>
      </c>
      <c r="B793" s="76">
        <v>150.48343499076921</v>
      </c>
    </row>
    <row r="794" spans="1:2" x14ac:dyDescent="0.3">
      <c r="A794" s="2" t="s">
        <v>156</v>
      </c>
      <c r="B794" s="76">
        <v>49.803549757281559</v>
      </c>
    </row>
    <row r="795" spans="1:2" x14ac:dyDescent="0.3">
      <c r="A795" s="2" t="s">
        <v>156</v>
      </c>
      <c r="B795" s="76">
        <v>100.21039938597785</v>
      </c>
    </row>
    <row r="796" spans="1:2" x14ac:dyDescent="0.3">
      <c r="A796" s="2" t="s">
        <v>156</v>
      </c>
      <c r="B796" s="76">
        <v>24.324375493670885</v>
      </c>
    </row>
    <row r="797" spans="1:2" x14ac:dyDescent="0.3">
      <c r="A797" s="2" t="s">
        <v>156</v>
      </c>
      <c r="B797" s="76">
        <v>26.237788454676256</v>
      </c>
    </row>
    <row r="798" spans="1:2" x14ac:dyDescent="0.3">
      <c r="A798" s="2" t="s">
        <v>156</v>
      </c>
      <c r="B798" s="76">
        <v>41.157375413953481</v>
      </c>
    </row>
    <row r="799" spans="1:2" x14ac:dyDescent="0.3">
      <c r="A799" s="2" t="s">
        <v>156</v>
      </c>
      <c r="B799" s="76">
        <v>42.517450816289589</v>
      </c>
    </row>
    <row r="800" spans="1:2" x14ac:dyDescent="0.3">
      <c r="A800" s="2" t="s">
        <v>156</v>
      </c>
      <c r="B800" s="76">
        <v>35.718062283737027</v>
      </c>
    </row>
    <row r="801" spans="1:2" x14ac:dyDescent="0.3">
      <c r="A801" s="2" t="s">
        <v>156</v>
      </c>
      <c r="B801" s="76">
        <v>34.185499332330835</v>
      </c>
    </row>
    <row r="802" spans="1:2" x14ac:dyDescent="0.3">
      <c r="A802" s="2" t="s">
        <v>156</v>
      </c>
      <c r="B802" s="76">
        <v>31.806455625000002</v>
      </c>
    </row>
    <row r="803" spans="1:2" x14ac:dyDescent="0.3">
      <c r="A803" s="2" t="s">
        <v>156</v>
      </c>
      <c r="B803" s="76">
        <v>36.517804075342468</v>
      </c>
    </row>
    <row r="804" spans="1:2" x14ac:dyDescent="0.3">
      <c r="A804" s="2" t="s">
        <v>156</v>
      </c>
      <c r="B804" s="76">
        <v>59.252194278260866</v>
      </c>
    </row>
    <row r="805" spans="1:2" x14ac:dyDescent="0.3">
      <c r="A805" s="2" t="s">
        <v>156</v>
      </c>
      <c r="B805" s="76">
        <v>52.848647689864862</v>
      </c>
    </row>
    <row r="806" spans="1:2" x14ac:dyDescent="0.3">
      <c r="A806" s="2" t="s">
        <v>156</v>
      </c>
      <c r="B806" s="76">
        <v>292.90527417721518</v>
      </c>
    </row>
    <row r="807" spans="1:2" x14ac:dyDescent="0.3">
      <c r="A807" s="2" t="s">
        <v>156</v>
      </c>
      <c r="B807" s="76">
        <v>47.13081720297032</v>
      </c>
    </row>
    <row r="808" spans="1:2" x14ac:dyDescent="0.3">
      <c r="A808" s="2" t="s">
        <v>156</v>
      </c>
      <c r="B808" s="76">
        <v>86.395893632432404</v>
      </c>
    </row>
    <row r="809" spans="1:2" x14ac:dyDescent="0.3">
      <c r="A809" s="2" t="s">
        <v>156</v>
      </c>
      <c r="B809" s="76">
        <v>237.68062945000003</v>
      </c>
    </row>
    <row r="810" spans="1:2" x14ac:dyDescent="0.3">
      <c r="A810" s="2" t="s">
        <v>156</v>
      </c>
      <c r="B810" s="76">
        <v>22.613435545454543</v>
      </c>
    </row>
    <row r="811" spans="1:2" x14ac:dyDescent="0.3">
      <c r="A811" s="2" t="s">
        <v>156</v>
      </c>
      <c r="B811" s="76">
        <v>37.117887368421052</v>
      </c>
    </row>
    <row r="812" spans="1:2" x14ac:dyDescent="0.3">
      <c r="A812" s="2" t="s">
        <v>156</v>
      </c>
      <c r="B812" s="76">
        <v>29.799816801129943</v>
      </c>
    </row>
    <row r="813" spans="1:2" x14ac:dyDescent="0.3">
      <c r="A813" s="2" t="s">
        <v>156</v>
      </c>
      <c r="B813" s="76">
        <v>68.029244935135125</v>
      </c>
    </row>
    <row r="814" spans="1:2" x14ac:dyDescent="0.3">
      <c r="A814" s="2" t="s">
        <v>156</v>
      </c>
      <c r="B814" s="76">
        <v>98.192859519999999</v>
      </c>
    </row>
    <row r="815" spans="1:2" x14ac:dyDescent="0.3">
      <c r="A815" s="2" t="s">
        <v>156</v>
      </c>
      <c r="B815" s="76">
        <v>24.265426114285713</v>
      </c>
    </row>
    <row r="816" spans="1:2" x14ac:dyDescent="0.3">
      <c r="A816" s="2" t="s">
        <v>156</v>
      </c>
      <c r="B816" s="76">
        <v>76.232809220339007</v>
      </c>
    </row>
    <row r="817" spans="1:2" x14ac:dyDescent="0.3">
      <c r="A817" s="2" t="s">
        <v>156</v>
      </c>
      <c r="B817" s="76">
        <v>29.553204103004294</v>
      </c>
    </row>
    <row r="818" spans="1:2" x14ac:dyDescent="0.3">
      <c r="A818" s="2" t="s">
        <v>156</v>
      </c>
      <c r="B818" s="76">
        <v>190.46550042776738</v>
      </c>
    </row>
    <row r="819" spans="1:2" x14ac:dyDescent="0.3">
      <c r="A819" s="2" t="s">
        <v>156</v>
      </c>
      <c r="B819" s="76">
        <v>99.693845170059888</v>
      </c>
    </row>
    <row r="820" spans="1:2" x14ac:dyDescent="0.3">
      <c r="A820" s="2" t="s">
        <v>156</v>
      </c>
      <c r="B820" s="76">
        <v>97.525453533962249</v>
      </c>
    </row>
    <row r="821" spans="1:2" x14ac:dyDescent="0.3">
      <c r="A821" s="2" t="s">
        <v>156</v>
      </c>
      <c r="B821" s="76">
        <v>72.44507925000002</v>
      </c>
    </row>
    <row r="822" spans="1:2" x14ac:dyDescent="0.3">
      <c r="A822" s="2" t="s">
        <v>156</v>
      </c>
      <c r="B822" s="76">
        <v>41.150743681528667</v>
      </c>
    </row>
    <row r="823" spans="1:2" x14ac:dyDescent="0.3">
      <c r="A823" s="2" t="s">
        <v>156</v>
      </c>
      <c r="B823" s="76">
        <v>241.36163364643545</v>
      </c>
    </row>
    <row r="824" spans="1:2" x14ac:dyDescent="0.3">
      <c r="A824" s="2" t="s">
        <v>156</v>
      </c>
      <c r="B824" s="76">
        <v>638.6819278861924</v>
      </c>
    </row>
    <row r="825" spans="1:2" x14ac:dyDescent="0.3">
      <c r="A825" s="2" t="s">
        <v>156</v>
      </c>
      <c r="B825" s="76">
        <v>44.299476569127513</v>
      </c>
    </row>
    <row r="826" spans="1:2" x14ac:dyDescent="0.3">
      <c r="A826" s="2" t="s">
        <v>156</v>
      </c>
      <c r="B826" s="76">
        <v>127.54655393103447</v>
      </c>
    </row>
    <row r="827" spans="1:2" x14ac:dyDescent="0.3">
      <c r="A827" s="2" t="s">
        <v>156</v>
      </c>
      <c r="B827" s="76">
        <v>43.16276509296636</v>
      </c>
    </row>
    <row r="828" spans="1:2" x14ac:dyDescent="0.3">
      <c r="A828" s="2" t="s">
        <v>156</v>
      </c>
      <c r="B828" s="76">
        <v>65.688508247682122</v>
      </c>
    </row>
    <row r="829" spans="1:2" x14ac:dyDescent="0.3">
      <c r="A829" s="2" t="s">
        <v>156</v>
      </c>
      <c r="B829" s="76">
        <v>147.86091719740631</v>
      </c>
    </row>
    <row r="830" spans="1:2" x14ac:dyDescent="0.3">
      <c r="A830" s="2" t="s">
        <v>156</v>
      </c>
      <c r="B830" s="76">
        <v>454.14091261935476</v>
      </c>
    </row>
    <row r="831" spans="1:2" x14ac:dyDescent="0.3">
      <c r="A831" s="2" t="s">
        <v>156</v>
      </c>
      <c r="B831" s="76">
        <v>299.12156126372878</v>
      </c>
    </row>
    <row r="832" spans="1:2" x14ac:dyDescent="0.3">
      <c r="A832" s="2" t="s">
        <v>156</v>
      </c>
      <c r="B832" s="76">
        <v>56.28051994576272</v>
      </c>
    </row>
    <row r="833" spans="1:2" x14ac:dyDescent="0.3">
      <c r="A833" s="2" t="s">
        <v>156</v>
      </c>
      <c r="B833" s="76">
        <v>312.13010914897956</v>
      </c>
    </row>
    <row r="834" spans="1:2" x14ac:dyDescent="0.3">
      <c r="A834" s="2" t="s">
        <v>156</v>
      </c>
      <c r="B834" s="76">
        <v>73.250177018791945</v>
      </c>
    </row>
    <row r="835" spans="1:2" x14ac:dyDescent="0.3">
      <c r="A835" s="2" t="s">
        <v>156</v>
      </c>
      <c r="B835" s="76">
        <v>37.182924223602484</v>
      </c>
    </row>
    <row r="836" spans="1:2" x14ac:dyDescent="0.3">
      <c r="A836" s="2" t="s">
        <v>156</v>
      </c>
      <c r="B836" s="76">
        <v>66.325319852941192</v>
      </c>
    </row>
    <row r="837" spans="1:2" x14ac:dyDescent="0.3">
      <c r="A837" s="2" t="s">
        <v>156</v>
      </c>
      <c r="B837" s="76">
        <v>21.260916881443304</v>
      </c>
    </row>
    <row r="838" spans="1:2" x14ac:dyDescent="0.3">
      <c r="A838" s="2" t="s">
        <v>156</v>
      </c>
      <c r="B838" s="76">
        <v>160.57396489001843</v>
      </c>
    </row>
    <row r="839" spans="1:2" x14ac:dyDescent="0.3">
      <c r="A839" s="2" t="s">
        <v>156</v>
      </c>
      <c r="B839" s="76">
        <v>353.21235235654598</v>
      </c>
    </row>
    <row r="840" spans="1:2" x14ac:dyDescent="0.3">
      <c r="A840" s="2" t="s">
        <v>156</v>
      </c>
      <c r="B840" s="76">
        <v>622.5201243459353</v>
      </c>
    </row>
    <row r="841" spans="1:2" x14ac:dyDescent="0.3">
      <c r="A841" s="2" t="s">
        <v>156</v>
      </c>
      <c r="B841" s="76">
        <v>47.767894164859086</v>
      </c>
    </row>
    <row r="842" spans="1:2" x14ac:dyDescent="0.3">
      <c r="A842" s="2" t="s">
        <v>156</v>
      </c>
      <c r="B842" s="76">
        <v>434.68740802794849</v>
      </c>
    </row>
    <row r="843" spans="1:2" x14ac:dyDescent="0.3">
      <c r="A843" s="2" t="s">
        <v>156</v>
      </c>
      <c r="B843" s="76">
        <v>1040.4147263120547</v>
      </c>
    </row>
    <row r="844" spans="1:2" x14ac:dyDescent="0.3">
      <c r="A844" s="2" t="s">
        <v>156</v>
      </c>
      <c r="B844" s="76">
        <v>776.21479117562319</v>
      </c>
    </row>
    <row r="845" spans="1:2" x14ac:dyDescent="0.3">
      <c r="A845" s="2" t="s">
        <v>156</v>
      </c>
      <c r="B845" s="76">
        <v>372.80497821400485</v>
      </c>
    </row>
    <row r="846" spans="1:2" x14ac:dyDescent="0.3">
      <c r="A846" s="2" t="s">
        <v>156</v>
      </c>
      <c r="B846" s="76">
        <v>93.256980463103801</v>
      </c>
    </row>
    <row r="847" spans="1:2" x14ac:dyDescent="0.3">
      <c r="A847" s="2" t="s">
        <v>156</v>
      </c>
      <c r="B847" s="76">
        <v>463.94720959730506</v>
      </c>
    </row>
    <row r="848" spans="1:2" x14ac:dyDescent="0.3">
      <c r="A848" s="2" t="s">
        <v>156</v>
      </c>
      <c r="B848" s="76">
        <v>224.60896047271882</v>
      </c>
    </row>
    <row r="849" spans="1:2" x14ac:dyDescent="0.3">
      <c r="A849" s="2" t="s">
        <v>156</v>
      </c>
      <c r="B849" s="76">
        <v>67.868886809968743</v>
      </c>
    </row>
    <row r="850" spans="1:2" x14ac:dyDescent="0.3">
      <c r="A850" s="2" t="s">
        <v>156</v>
      </c>
      <c r="B850" s="76">
        <v>156.56460300252002</v>
      </c>
    </row>
    <row r="851" spans="1:2" x14ac:dyDescent="0.3">
      <c r="A851" s="2" t="s">
        <v>156</v>
      </c>
      <c r="B851" s="76">
        <v>398.11736818056943</v>
      </c>
    </row>
    <row r="852" spans="1:2" x14ac:dyDescent="0.3">
      <c r="A852" s="2" t="s">
        <v>156</v>
      </c>
      <c r="B852" s="76">
        <v>86.71194463057401</v>
      </c>
    </row>
    <row r="853" spans="1:2" x14ac:dyDescent="0.3">
      <c r="A853" s="2" t="s">
        <v>156</v>
      </c>
      <c r="B853" s="76">
        <v>64.603044144204659</v>
      </c>
    </row>
    <row r="854" spans="1:2" x14ac:dyDescent="0.3">
      <c r="A854" s="2" t="s">
        <v>156</v>
      </c>
      <c r="B854" s="76">
        <v>253.69401692892234</v>
      </c>
    </row>
    <row r="855" spans="1:2" x14ac:dyDescent="0.3">
      <c r="A855" s="2" t="s">
        <v>156</v>
      </c>
      <c r="B855" s="76">
        <v>72.889676023527201</v>
      </c>
    </row>
    <row r="856" spans="1:2" x14ac:dyDescent="0.3">
      <c r="A856" s="2" t="s">
        <v>156</v>
      </c>
      <c r="B856" s="76">
        <v>886.08851803682103</v>
      </c>
    </row>
    <row r="857" spans="1:2" x14ac:dyDescent="0.3">
      <c r="A857" s="2" t="s">
        <v>156</v>
      </c>
      <c r="B857" s="76">
        <v>404.09007393011007</v>
      </c>
    </row>
    <row r="858" spans="1:2" x14ac:dyDescent="0.3">
      <c r="A858" s="2" t="s">
        <v>156</v>
      </c>
      <c r="B858" s="76">
        <v>974.75785564622913</v>
      </c>
    </row>
    <row r="859" spans="1:2" x14ac:dyDescent="0.3">
      <c r="A859" s="2" t="s">
        <v>156</v>
      </c>
      <c r="B859" s="76">
        <v>514.8243366573713</v>
      </c>
    </row>
    <row r="860" spans="1:2" x14ac:dyDescent="0.3">
      <c r="A860" s="2" t="s">
        <v>156</v>
      </c>
      <c r="B860" s="76">
        <v>202.2169944396274</v>
      </c>
    </row>
    <row r="861" spans="1:2" x14ac:dyDescent="0.3">
      <c r="A861" s="2" t="s">
        <v>156</v>
      </c>
      <c r="B861" s="76">
        <v>786.62837761034871</v>
      </c>
    </row>
    <row r="862" spans="1:2" x14ac:dyDescent="0.3">
      <c r="A862" s="2" t="s">
        <v>156</v>
      </c>
      <c r="B862" s="76">
        <v>68.693484418001916</v>
      </c>
    </row>
    <row r="863" spans="1:2" x14ac:dyDescent="0.3">
      <c r="A863" s="2" t="s">
        <v>156</v>
      </c>
      <c r="B863" s="76">
        <v>40.195077475230846</v>
      </c>
    </row>
    <row r="864" spans="1:2" x14ac:dyDescent="0.3">
      <c r="A864" s="2" t="s">
        <v>156</v>
      </c>
      <c r="B864" s="76">
        <v>57.681125953614</v>
      </c>
    </row>
    <row r="865" spans="1:2" x14ac:dyDescent="0.3">
      <c r="A865" s="2" t="s">
        <v>156</v>
      </c>
      <c r="B865" s="76">
        <v>225.44334052551221</v>
      </c>
    </row>
    <row r="866" spans="1:2" x14ac:dyDescent="0.3">
      <c r="A866" s="2" t="s">
        <v>156</v>
      </c>
      <c r="B866" s="76">
        <v>15.860997774679866</v>
      </c>
    </row>
    <row r="867" spans="1:2" x14ac:dyDescent="0.3">
      <c r="A867" s="2" t="s">
        <v>156</v>
      </c>
      <c r="B867" s="76">
        <v>60.22505683295396</v>
      </c>
    </row>
    <row r="868" spans="1:2" x14ac:dyDescent="0.3">
      <c r="A868" s="2" t="s">
        <v>156</v>
      </c>
      <c r="B868" s="76">
        <v>188.14323860916193</v>
      </c>
    </row>
    <row r="869" spans="1:2" x14ac:dyDescent="0.3">
      <c r="A869" s="2" t="s">
        <v>156</v>
      </c>
      <c r="B869" s="76">
        <v>25.57372084713079</v>
      </c>
    </row>
    <row r="870" spans="1:2" x14ac:dyDescent="0.3">
      <c r="A870" s="2" t="s">
        <v>156</v>
      </c>
      <c r="B870" s="76">
        <v>104.92951192229076</v>
      </c>
    </row>
    <row r="871" spans="1:2" x14ac:dyDescent="0.3">
      <c r="A871" s="2" t="s">
        <v>156</v>
      </c>
      <c r="B871" s="76">
        <v>119.93433857152223</v>
      </c>
    </row>
    <row r="872" spans="1:2" x14ac:dyDescent="0.3">
      <c r="A872" s="2" t="s">
        <v>156</v>
      </c>
      <c r="B872" s="76">
        <v>114.74277283035649</v>
      </c>
    </row>
    <row r="873" spans="1:2" x14ac:dyDescent="0.3">
      <c r="A873" s="2" t="s">
        <v>156</v>
      </c>
      <c r="B873" s="76">
        <v>140.12472585702466</v>
      </c>
    </row>
    <row r="874" spans="1:2" x14ac:dyDescent="0.3">
      <c r="A874" s="2" t="s">
        <v>156</v>
      </c>
      <c r="B874" s="76">
        <v>491.17591108077477</v>
      </c>
    </row>
    <row r="875" spans="1:2" x14ac:dyDescent="0.3">
      <c r="A875" s="2" t="s">
        <v>156</v>
      </c>
      <c r="B875" s="76">
        <v>103.21872452393757</v>
      </c>
    </row>
    <row r="876" spans="1:2" x14ac:dyDescent="0.3">
      <c r="A876" s="2" t="s">
        <v>156</v>
      </c>
      <c r="B876" s="76">
        <v>395.21106584580764</v>
      </c>
    </row>
    <row r="877" spans="1:2" x14ac:dyDescent="0.3">
      <c r="A877" s="2" t="s">
        <v>156</v>
      </c>
      <c r="B877" s="76">
        <v>186.61683217523017</v>
      </c>
    </row>
    <row r="878" spans="1:2" x14ac:dyDescent="0.3">
      <c r="A878" s="2" t="s">
        <v>156</v>
      </c>
      <c r="B878" s="76">
        <v>281.03490780051288</v>
      </c>
    </row>
    <row r="879" spans="1:2" x14ac:dyDescent="0.3">
      <c r="A879" s="2" t="s">
        <v>156</v>
      </c>
      <c r="B879" s="76">
        <v>798.33076735630107</v>
      </c>
    </row>
    <row r="880" spans="1:2" x14ac:dyDescent="0.3">
      <c r="A880" s="2" t="s">
        <v>156</v>
      </c>
      <c r="B880" s="76">
        <v>69.623823576162394</v>
      </c>
    </row>
    <row r="881" spans="1:2" x14ac:dyDescent="0.3">
      <c r="A881" s="2" t="s">
        <v>156</v>
      </c>
      <c r="B881" s="76">
        <v>77.158957637180961</v>
      </c>
    </row>
    <row r="882" spans="1:2" x14ac:dyDescent="0.3">
      <c r="A882" s="2" t="s">
        <v>156</v>
      </c>
      <c r="B882" s="76">
        <v>41.378643925091595</v>
      </c>
    </row>
    <row r="883" spans="1:2" x14ac:dyDescent="0.3">
      <c r="A883" s="2" t="s">
        <v>156</v>
      </c>
      <c r="B883" s="76">
        <v>83.20575075295875</v>
      </c>
    </row>
    <row r="884" spans="1:2" x14ac:dyDescent="0.3">
      <c r="A884" s="2" t="s">
        <v>156</v>
      </c>
      <c r="B884" s="76">
        <v>1099.0397195962346</v>
      </c>
    </row>
    <row r="885" spans="1:2" x14ac:dyDescent="0.3">
      <c r="A885" s="2" t="s">
        <v>156</v>
      </c>
      <c r="B885" s="76">
        <v>303.18001480595609</v>
      </c>
    </row>
    <row r="886" spans="1:2" x14ac:dyDescent="0.3">
      <c r="A886" s="2" t="s">
        <v>156</v>
      </c>
      <c r="B886" s="76">
        <v>89.305190988509466</v>
      </c>
    </row>
    <row r="887" spans="1:2" x14ac:dyDescent="0.3">
      <c r="A887" s="2" t="s">
        <v>156</v>
      </c>
      <c r="B887" s="76">
        <v>126.45957118572424</v>
      </c>
    </row>
    <row r="888" spans="1:2" x14ac:dyDescent="0.3">
      <c r="A888" s="2" t="s">
        <v>156</v>
      </c>
      <c r="B888" s="76">
        <v>181.52116306183333</v>
      </c>
    </row>
    <row r="889" spans="1:2" x14ac:dyDescent="0.3">
      <c r="A889" s="2" t="s">
        <v>156</v>
      </c>
      <c r="B889" s="76">
        <v>429.52577098754119</v>
      </c>
    </row>
    <row r="890" spans="1:2" x14ac:dyDescent="0.3">
      <c r="A890" s="2" t="s">
        <v>156</v>
      </c>
      <c r="B890" s="76">
        <v>121.8531542934339</v>
      </c>
    </row>
    <row r="891" spans="1:2" x14ac:dyDescent="0.3">
      <c r="A891" s="2" t="s">
        <v>156</v>
      </c>
      <c r="B891" s="76">
        <v>81.831851166643958</v>
      </c>
    </row>
    <row r="892" spans="1:2" x14ac:dyDescent="0.3">
      <c r="A892" s="2" t="s">
        <v>157</v>
      </c>
      <c r="B892" s="76">
        <v>87.348357437714284</v>
      </c>
    </row>
    <row r="893" spans="1:2" x14ac:dyDescent="0.3">
      <c r="A893" s="2" t="s">
        <v>157</v>
      </c>
      <c r="B893" s="76">
        <v>669.1491404536082</v>
      </c>
    </row>
    <row r="894" spans="1:2" x14ac:dyDescent="0.3">
      <c r="A894" s="2" t="s">
        <v>157</v>
      </c>
      <c r="B894" s="76">
        <v>834.29076095999994</v>
      </c>
    </row>
    <row r="895" spans="1:2" x14ac:dyDescent="0.3">
      <c r="A895" s="2" t="s">
        <v>157</v>
      </c>
      <c r="B895" s="76">
        <v>338.27309940331492</v>
      </c>
    </row>
    <row r="896" spans="1:2" x14ac:dyDescent="0.3">
      <c r="A896" s="2" t="s">
        <v>157</v>
      </c>
      <c r="B896" s="76">
        <v>101.24519225806451</v>
      </c>
    </row>
    <row r="897" spans="1:2" x14ac:dyDescent="0.3">
      <c r="A897" s="2" t="s">
        <v>157</v>
      </c>
      <c r="B897" s="76">
        <v>66.805709696721308</v>
      </c>
    </row>
    <row r="898" spans="1:2" x14ac:dyDescent="0.3">
      <c r="A898" s="2" t="s">
        <v>157</v>
      </c>
      <c r="B898" s="76">
        <v>52.658315999999992</v>
      </c>
    </row>
    <row r="899" spans="1:2" x14ac:dyDescent="0.3">
      <c r="A899" s="2" t="s">
        <v>157</v>
      </c>
      <c r="B899" s="76">
        <v>114.38954072796935</v>
      </c>
    </row>
    <row r="900" spans="1:2" x14ac:dyDescent="0.3">
      <c r="A900" s="2" t="s">
        <v>157</v>
      </c>
      <c r="B900" s="76">
        <v>152.89108725773195</v>
      </c>
    </row>
    <row r="901" spans="1:2" x14ac:dyDescent="0.3">
      <c r="A901" s="2" t="s">
        <v>157</v>
      </c>
      <c r="B901" s="76">
        <v>108.10314666666666</v>
      </c>
    </row>
    <row r="902" spans="1:2" x14ac:dyDescent="0.3">
      <c r="A902" s="2" t="s">
        <v>157</v>
      </c>
      <c r="B902" s="76">
        <v>52.799925749999993</v>
      </c>
    </row>
    <row r="903" spans="1:2" x14ac:dyDescent="0.3">
      <c r="A903" s="2" t="s">
        <v>157</v>
      </c>
      <c r="B903" s="76">
        <v>168.483159</v>
      </c>
    </row>
    <row r="904" spans="1:2" x14ac:dyDescent="0.3">
      <c r="A904" s="2" t="s">
        <v>157</v>
      </c>
      <c r="B904" s="76">
        <v>157.28735048000001</v>
      </c>
    </row>
    <row r="905" spans="1:2" x14ac:dyDescent="0.3">
      <c r="A905" s="2" t="s">
        <v>157</v>
      </c>
      <c r="B905" s="76">
        <v>112.93944779944138</v>
      </c>
    </row>
    <row r="906" spans="1:2" x14ac:dyDescent="0.3">
      <c r="A906" s="2" t="s">
        <v>157</v>
      </c>
      <c r="B906" s="76">
        <v>83.409188571428558</v>
      </c>
    </row>
    <row r="907" spans="1:2" x14ac:dyDescent="0.3">
      <c r="A907" s="2" t="s">
        <v>157</v>
      </c>
      <c r="B907" s="76">
        <v>60.369921218749994</v>
      </c>
    </row>
    <row r="908" spans="1:2" x14ac:dyDescent="0.3">
      <c r="A908" s="2" t="s">
        <v>157</v>
      </c>
      <c r="B908" s="76">
        <v>186.0585745282167</v>
      </c>
    </row>
    <row r="909" spans="1:2" x14ac:dyDescent="0.3">
      <c r="A909" s="2" t="s">
        <v>157</v>
      </c>
      <c r="B909" s="76">
        <v>29.749507605633802</v>
      </c>
    </row>
    <row r="910" spans="1:2" x14ac:dyDescent="0.3">
      <c r="A910" s="2" t="s">
        <v>157</v>
      </c>
      <c r="B910" s="76">
        <v>104.53086023291139</v>
      </c>
    </row>
    <row r="911" spans="1:2" x14ac:dyDescent="0.3">
      <c r="A911" s="2" t="s">
        <v>157</v>
      </c>
      <c r="B911" s="76">
        <v>99.569264900000007</v>
      </c>
    </row>
    <row r="912" spans="1:2" x14ac:dyDescent="0.3">
      <c r="A912" s="2" t="s">
        <v>157</v>
      </c>
      <c r="B912" s="76">
        <v>68.85290343749999</v>
      </c>
    </row>
    <row r="913" spans="1:2" x14ac:dyDescent="0.3">
      <c r="A913" s="2" t="s">
        <v>157</v>
      </c>
      <c r="B913" s="76">
        <v>72.944464139130432</v>
      </c>
    </row>
    <row r="914" spans="1:2" x14ac:dyDescent="0.3">
      <c r="A914" s="2" t="s">
        <v>157</v>
      </c>
      <c r="B914" s="76">
        <v>80.971014442499992</v>
      </c>
    </row>
    <row r="915" spans="1:2" x14ac:dyDescent="0.3">
      <c r="A915" s="2" t="s">
        <v>157</v>
      </c>
      <c r="B915" s="76">
        <v>36.377483999999995</v>
      </c>
    </row>
    <row r="916" spans="1:2" x14ac:dyDescent="0.3">
      <c r="A916" s="2" t="s">
        <v>157</v>
      </c>
      <c r="B916" s="76">
        <v>59.816105327205889</v>
      </c>
    </row>
    <row r="917" spans="1:2" x14ac:dyDescent="0.3">
      <c r="A917" s="2" t="s">
        <v>157</v>
      </c>
      <c r="B917" s="76">
        <v>83.885072059285704</v>
      </c>
    </row>
    <row r="918" spans="1:2" x14ac:dyDescent="0.3">
      <c r="A918" s="2" t="s">
        <v>157</v>
      </c>
      <c r="B918" s="76">
        <v>51.964923307430347</v>
      </c>
    </row>
    <row r="919" spans="1:2" x14ac:dyDescent="0.3">
      <c r="A919" s="2" t="s">
        <v>157</v>
      </c>
      <c r="B919" s="76">
        <v>138.42133153333336</v>
      </c>
    </row>
    <row r="920" spans="1:2" x14ac:dyDescent="0.3">
      <c r="A920" s="2" t="s">
        <v>157</v>
      </c>
      <c r="B920" s="76">
        <v>223.26067808656032</v>
      </c>
    </row>
    <row r="921" spans="1:2" x14ac:dyDescent="0.3">
      <c r="A921" s="2" t="s">
        <v>157</v>
      </c>
      <c r="B921" s="76">
        <v>47.478640695652167</v>
      </c>
    </row>
    <row r="922" spans="1:2" x14ac:dyDescent="0.3">
      <c r="A922" s="2" t="s">
        <v>157</v>
      </c>
      <c r="B922" s="76">
        <v>49.377374928251122</v>
      </c>
    </row>
    <row r="923" spans="1:2" x14ac:dyDescent="0.3">
      <c r="A923" s="2" t="s">
        <v>157</v>
      </c>
      <c r="B923" s="76">
        <v>39.668428799999987</v>
      </c>
    </row>
    <row r="924" spans="1:2" x14ac:dyDescent="0.3">
      <c r="A924" s="2" t="s">
        <v>157</v>
      </c>
      <c r="B924" s="76">
        <v>315.66250201232032</v>
      </c>
    </row>
    <row r="925" spans="1:2" x14ac:dyDescent="0.3">
      <c r="A925" s="2" t="s">
        <v>157</v>
      </c>
      <c r="B925" s="76">
        <v>102.03481153125</v>
      </c>
    </row>
    <row r="926" spans="1:2" x14ac:dyDescent="0.3">
      <c r="A926" s="2" t="s">
        <v>157</v>
      </c>
      <c r="B926" s="76">
        <v>276.57806648532107</v>
      </c>
    </row>
    <row r="927" spans="1:2" x14ac:dyDescent="0.3">
      <c r="A927" s="2" t="s">
        <v>157</v>
      </c>
      <c r="B927" s="76">
        <v>98.517024500869582</v>
      </c>
    </row>
    <row r="928" spans="1:2" x14ac:dyDescent="0.3">
      <c r="A928" s="2" t="s">
        <v>157</v>
      </c>
      <c r="B928" s="76">
        <v>72.205475968888891</v>
      </c>
    </row>
    <row r="929" spans="1:2" x14ac:dyDescent="0.3">
      <c r="A929" s="2" t="s">
        <v>157</v>
      </c>
      <c r="B929" s="76">
        <v>71.107594999999989</v>
      </c>
    </row>
    <row r="930" spans="1:2" x14ac:dyDescent="0.3">
      <c r="A930" s="2" t="s">
        <v>157</v>
      </c>
      <c r="B930" s="76">
        <v>57.886039771428564</v>
      </c>
    </row>
    <row r="931" spans="1:2" x14ac:dyDescent="0.3">
      <c r="A931" s="2" t="s">
        <v>157</v>
      </c>
      <c r="B931" s="76">
        <v>95.982046874999995</v>
      </c>
    </row>
    <row r="932" spans="1:2" x14ac:dyDescent="0.3">
      <c r="A932" s="2" t="s">
        <v>157</v>
      </c>
      <c r="B932" s="76">
        <v>62.129561882142852</v>
      </c>
    </row>
    <row r="933" spans="1:2" x14ac:dyDescent="0.3">
      <c r="A933" s="2" t="s">
        <v>157</v>
      </c>
      <c r="B933" s="76">
        <v>96.350162061855656</v>
      </c>
    </row>
    <row r="934" spans="1:2" x14ac:dyDescent="0.3">
      <c r="A934" s="2" t="s">
        <v>157</v>
      </c>
      <c r="B934" s="76">
        <v>107.30889417857144</v>
      </c>
    </row>
    <row r="935" spans="1:2" x14ac:dyDescent="0.3">
      <c r="A935" s="2" t="s">
        <v>157</v>
      </c>
      <c r="B935" s="76">
        <v>174.67814689944134</v>
      </c>
    </row>
    <row r="936" spans="1:2" x14ac:dyDescent="0.3">
      <c r="A936" s="2" t="s">
        <v>157</v>
      </c>
      <c r="B936" s="76">
        <v>351.05175791338587</v>
      </c>
    </row>
    <row r="937" spans="1:2" x14ac:dyDescent="0.3">
      <c r="A937" s="2" t="s">
        <v>157</v>
      </c>
      <c r="B937" s="76">
        <v>255.03962995353069</v>
      </c>
    </row>
    <row r="938" spans="1:2" x14ac:dyDescent="0.3">
      <c r="A938" s="2" t="s">
        <v>157</v>
      </c>
      <c r="B938" s="76">
        <v>41.007473730337082</v>
      </c>
    </row>
    <row r="939" spans="1:2" x14ac:dyDescent="0.3">
      <c r="A939" s="2" t="s">
        <v>157</v>
      </c>
      <c r="B939" s="76">
        <v>72.226506657718105</v>
      </c>
    </row>
    <row r="940" spans="1:2" x14ac:dyDescent="0.3">
      <c r="A940" s="2" t="s">
        <v>157</v>
      </c>
      <c r="B940" s="76">
        <v>23.860128259259252</v>
      </c>
    </row>
    <row r="941" spans="1:2" x14ac:dyDescent="0.3">
      <c r="A941" s="2" t="s">
        <v>157</v>
      </c>
      <c r="B941" s="76">
        <v>108.36369606442048</v>
      </c>
    </row>
    <row r="942" spans="1:2" x14ac:dyDescent="0.3">
      <c r="A942" s="2" t="s">
        <v>157</v>
      </c>
      <c r="B942" s="76">
        <v>93.311630514962602</v>
      </c>
    </row>
    <row r="943" spans="1:2" x14ac:dyDescent="0.3">
      <c r="A943" s="2" t="s">
        <v>157</v>
      </c>
      <c r="B943" s="76">
        <v>61.655748432352929</v>
      </c>
    </row>
    <row r="944" spans="1:2" x14ac:dyDescent="0.3">
      <c r="A944" s="2" t="s">
        <v>157</v>
      </c>
      <c r="B944" s="76">
        <v>25.094098421052635</v>
      </c>
    </row>
    <row r="945" spans="1:2" x14ac:dyDescent="0.3">
      <c r="A945" s="2" t="s">
        <v>157</v>
      </c>
      <c r="B945" s="76">
        <v>229.10103821965313</v>
      </c>
    </row>
    <row r="946" spans="1:2" x14ac:dyDescent="0.3">
      <c r="A946" s="2" t="s">
        <v>157</v>
      </c>
      <c r="B946" s="76">
        <v>193.0122231631579</v>
      </c>
    </row>
    <row r="947" spans="1:2" x14ac:dyDescent="0.3">
      <c r="A947" s="2" t="s">
        <v>157</v>
      </c>
      <c r="B947" s="76">
        <v>60.110017294736842</v>
      </c>
    </row>
    <row r="948" spans="1:2" x14ac:dyDescent="0.3">
      <c r="A948" s="2" t="s">
        <v>157</v>
      </c>
      <c r="B948" s="76">
        <v>57.102923025909085</v>
      </c>
    </row>
    <row r="949" spans="1:2" x14ac:dyDescent="0.3">
      <c r="A949" s="2" t="s">
        <v>157</v>
      </c>
      <c r="B949" s="76">
        <v>42.247778796363647</v>
      </c>
    </row>
    <row r="950" spans="1:2" x14ac:dyDescent="0.3">
      <c r="A950" s="2" t="s">
        <v>157</v>
      </c>
      <c r="B950" s="76">
        <v>443.58270449012656</v>
      </c>
    </row>
    <row r="951" spans="1:2" x14ac:dyDescent="0.3">
      <c r="A951" s="2" t="s">
        <v>157</v>
      </c>
      <c r="B951" s="76">
        <v>497.73614519392913</v>
      </c>
    </row>
    <row r="952" spans="1:2" x14ac:dyDescent="0.3">
      <c r="A952" s="2" t="s">
        <v>157</v>
      </c>
      <c r="B952" s="76">
        <v>35.914779024657527</v>
      </c>
    </row>
    <row r="953" spans="1:2" x14ac:dyDescent="0.3">
      <c r="A953" s="2" t="s">
        <v>157</v>
      </c>
      <c r="B953" s="76">
        <v>284.48963400000002</v>
      </c>
    </row>
    <row r="954" spans="1:2" x14ac:dyDescent="0.3">
      <c r="A954" s="2" t="s">
        <v>157</v>
      </c>
      <c r="B954" s="76">
        <v>7.1608788188888877</v>
      </c>
    </row>
    <row r="955" spans="1:2" x14ac:dyDescent="0.3">
      <c r="A955" s="2" t="s">
        <v>157</v>
      </c>
      <c r="B955" s="76">
        <v>12.094090133944954</v>
      </c>
    </row>
    <row r="956" spans="1:2" x14ac:dyDescent="0.3">
      <c r="A956" s="2" t="s">
        <v>157</v>
      </c>
      <c r="B956" s="76">
        <v>8.5083086650602429</v>
      </c>
    </row>
    <row r="957" spans="1:2" x14ac:dyDescent="0.3">
      <c r="A957" s="2" t="s">
        <v>157</v>
      </c>
      <c r="B957" s="76">
        <v>24.450659999999999</v>
      </c>
    </row>
    <row r="958" spans="1:2" x14ac:dyDescent="0.3">
      <c r="A958" s="2" t="s">
        <v>157</v>
      </c>
      <c r="B958" s="76">
        <v>19.93138378271605</v>
      </c>
    </row>
    <row r="959" spans="1:2" x14ac:dyDescent="0.3">
      <c r="A959" s="2" t="s">
        <v>157</v>
      </c>
      <c r="B959" s="76">
        <v>12.837724137931033</v>
      </c>
    </row>
    <row r="960" spans="1:2" x14ac:dyDescent="0.3">
      <c r="A960" s="2" t="s">
        <v>157</v>
      </c>
      <c r="B960" s="76">
        <v>12.392576756756757</v>
      </c>
    </row>
    <row r="961" spans="1:2" x14ac:dyDescent="0.3">
      <c r="A961" s="2" t="s">
        <v>157</v>
      </c>
      <c r="B961" s="76">
        <v>62.006979286330932</v>
      </c>
    </row>
    <row r="962" spans="1:2" x14ac:dyDescent="0.3">
      <c r="A962" s="2" t="s">
        <v>157</v>
      </c>
      <c r="B962" s="76">
        <v>38.652990882352938</v>
      </c>
    </row>
    <row r="963" spans="1:2" x14ac:dyDescent="0.3">
      <c r="A963" s="2" t="s">
        <v>157</v>
      </c>
      <c r="B963" s="76">
        <v>57.278539632653064</v>
      </c>
    </row>
    <row r="964" spans="1:2" x14ac:dyDescent="0.3">
      <c r="A964" s="2" t="s">
        <v>157</v>
      </c>
      <c r="B964" s="76">
        <v>61.269078705527633</v>
      </c>
    </row>
    <row r="965" spans="1:2" x14ac:dyDescent="0.3">
      <c r="A965" s="2" t="s">
        <v>157</v>
      </c>
      <c r="B965" s="76">
        <v>17.493701004739339</v>
      </c>
    </row>
    <row r="966" spans="1:2" x14ac:dyDescent="0.3">
      <c r="A966" s="2" t="s">
        <v>157</v>
      </c>
      <c r="B966" s="76">
        <v>46.93150187081968</v>
      </c>
    </row>
    <row r="967" spans="1:2" x14ac:dyDescent="0.3">
      <c r="A967" s="2" t="s">
        <v>157</v>
      </c>
      <c r="B967" s="76">
        <v>74.480403199999984</v>
      </c>
    </row>
    <row r="968" spans="1:2" x14ac:dyDescent="0.3">
      <c r="A968" s="2" t="s">
        <v>157</v>
      </c>
      <c r="B968" s="76">
        <v>64.863144498507452</v>
      </c>
    </row>
    <row r="969" spans="1:2" x14ac:dyDescent="0.3">
      <c r="A969" s="2" t="s">
        <v>157</v>
      </c>
      <c r="B969" s="76">
        <v>29.208870258585865</v>
      </c>
    </row>
    <row r="970" spans="1:2" x14ac:dyDescent="0.3">
      <c r="A970" s="2" t="s">
        <v>157</v>
      </c>
      <c r="B970" s="76">
        <v>57.980239396226409</v>
      </c>
    </row>
    <row r="971" spans="1:2" x14ac:dyDescent="0.3">
      <c r="A971" s="2" t="s">
        <v>157</v>
      </c>
      <c r="B971" s="76">
        <v>165.26569775999997</v>
      </c>
    </row>
    <row r="972" spans="1:2" x14ac:dyDescent="0.3">
      <c r="A972" s="2" t="s">
        <v>157</v>
      </c>
      <c r="B972" s="76">
        <v>54.695843446601948</v>
      </c>
    </row>
    <row r="973" spans="1:2" x14ac:dyDescent="0.3">
      <c r="A973" s="2" t="s">
        <v>157</v>
      </c>
      <c r="B973" s="76">
        <v>110.05425001328412</v>
      </c>
    </row>
    <row r="974" spans="1:2" x14ac:dyDescent="0.3">
      <c r="A974" s="2" t="s">
        <v>157</v>
      </c>
      <c r="B974" s="76">
        <v>26.713803341772149</v>
      </c>
    </row>
    <row r="975" spans="1:2" x14ac:dyDescent="0.3">
      <c r="A975" s="2" t="s">
        <v>157</v>
      </c>
      <c r="B975" s="76">
        <v>28.815174353956824</v>
      </c>
    </row>
    <row r="976" spans="1:2" x14ac:dyDescent="0.3">
      <c r="A976" s="2" t="s">
        <v>157</v>
      </c>
      <c r="B976" s="76">
        <v>45.200339599999992</v>
      </c>
    </row>
    <row r="977" spans="1:2" x14ac:dyDescent="0.3">
      <c r="A977" s="2" t="s">
        <v>157</v>
      </c>
      <c r="B977" s="76">
        <v>46.694017694117647</v>
      </c>
    </row>
    <row r="978" spans="1:2" x14ac:dyDescent="0.3">
      <c r="A978" s="2" t="s">
        <v>157</v>
      </c>
      <c r="B978" s="76">
        <v>39.226712802768162</v>
      </c>
    </row>
    <row r="979" spans="1:2" x14ac:dyDescent="0.3">
      <c r="A979" s="2" t="s">
        <v>157</v>
      </c>
      <c r="B979" s="76">
        <v>37.543603392481209</v>
      </c>
    </row>
    <row r="980" spans="1:2" x14ac:dyDescent="0.3">
      <c r="A980" s="2" t="s">
        <v>157</v>
      </c>
      <c r="B980" s="76">
        <v>34.930861874999998</v>
      </c>
    </row>
    <row r="981" spans="1:2" x14ac:dyDescent="0.3">
      <c r="A981" s="2" t="s">
        <v>157</v>
      </c>
      <c r="B981" s="76">
        <v>40.105014691780831</v>
      </c>
    </row>
    <row r="982" spans="1:2" x14ac:dyDescent="0.3">
      <c r="A982" s="2" t="s">
        <v>157</v>
      </c>
      <c r="B982" s="76">
        <v>65.0726455826087</v>
      </c>
    </row>
    <row r="983" spans="1:2" x14ac:dyDescent="0.3">
      <c r="A983" s="2" t="s">
        <v>157</v>
      </c>
      <c r="B983" s="76">
        <v>58.04006691283783</v>
      </c>
    </row>
    <row r="984" spans="1:2" x14ac:dyDescent="0.3">
      <c r="A984" s="2" t="s">
        <v>157</v>
      </c>
      <c r="B984" s="76">
        <v>321.67789443037975</v>
      </c>
    </row>
    <row r="985" spans="1:2" x14ac:dyDescent="0.3">
      <c r="A985" s="2" t="s">
        <v>157</v>
      </c>
      <c r="B985" s="76">
        <v>51.760563490099017</v>
      </c>
    </row>
    <row r="986" spans="1:2" x14ac:dyDescent="0.3">
      <c r="A986" s="2" t="s">
        <v>157</v>
      </c>
      <c r="B986" s="76">
        <v>94.882720118918883</v>
      </c>
    </row>
    <row r="987" spans="1:2" x14ac:dyDescent="0.3">
      <c r="A987" s="2" t="s">
        <v>157</v>
      </c>
      <c r="B987" s="76">
        <v>261.02843195000003</v>
      </c>
    </row>
    <row r="988" spans="1:2" x14ac:dyDescent="0.3">
      <c r="A988" s="2" t="s">
        <v>157</v>
      </c>
      <c r="B988" s="76">
        <v>24.834794636363636</v>
      </c>
    </row>
    <row r="989" spans="1:2" x14ac:dyDescent="0.3">
      <c r="A989" s="2" t="s">
        <v>157</v>
      </c>
      <c r="B989" s="76">
        <v>40.76404526315789</v>
      </c>
    </row>
    <row r="990" spans="1:2" x14ac:dyDescent="0.3">
      <c r="A990" s="2" t="s">
        <v>157</v>
      </c>
      <c r="B990" s="76">
        <v>32.727107253107349</v>
      </c>
    </row>
    <row r="991" spans="1:2" x14ac:dyDescent="0.3">
      <c r="A991" s="2" t="s">
        <v>157</v>
      </c>
      <c r="B991" s="76">
        <v>74.711881962162153</v>
      </c>
    </row>
    <row r="992" spans="1:2" x14ac:dyDescent="0.3">
      <c r="A992" s="2" t="s">
        <v>157</v>
      </c>
      <c r="B992" s="76">
        <v>107.83852352</v>
      </c>
    </row>
    <row r="993" spans="1:2" x14ac:dyDescent="0.3">
      <c r="A993" s="2" t="s">
        <v>157</v>
      </c>
      <c r="B993" s="76">
        <v>26.649063257142853</v>
      </c>
    </row>
    <row r="994" spans="1:2" x14ac:dyDescent="0.3">
      <c r="A994" s="2" t="s">
        <v>157</v>
      </c>
      <c r="B994" s="76">
        <v>83.721297355932222</v>
      </c>
    </row>
    <row r="995" spans="1:2" x14ac:dyDescent="0.3">
      <c r="A995" s="2" t="s">
        <v>157</v>
      </c>
      <c r="B995" s="76">
        <v>32.456269339055794</v>
      </c>
    </row>
    <row r="996" spans="1:2" x14ac:dyDescent="0.3">
      <c r="A996" s="2" t="s">
        <v>157</v>
      </c>
      <c r="B996" s="76">
        <v>209.17527453658539</v>
      </c>
    </row>
    <row r="997" spans="1:2" x14ac:dyDescent="0.3">
      <c r="A997" s="2" t="s">
        <v>157</v>
      </c>
      <c r="B997" s="76">
        <v>109.48695373293414</v>
      </c>
    </row>
    <row r="998" spans="1:2" x14ac:dyDescent="0.3">
      <c r="A998" s="2" t="s">
        <v>157</v>
      </c>
      <c r="B998" s="76">
        <v>107.10555702452828</v>
      </c>
    </row>
    <row r="999" spans="1:2" x14ac:dyDescent="0.3">
      <c r="A999" s="2" t="s">
        <v>157</v>
      </c>
      <c r="B999" s="76">
        <v>79.561491750000016</v>
      </c>
    </row>
    <row r="1000" spans="1:2" x14ac:dyDescent="0.3">
      <c r="A1000" s="2" t="s">
        <v>157</v>
      </c>
      <c r="B1000" s="76">
        <v>45.193056420382163</v>
      </c>
    </row>
    <row r="1001" spans="1:2" x14ac:dyDescent="0.3">
      <c r="A1001" s="2" t="s">
        <v>157</v>
      </c>
      <c r="B1001" s="76">
        <v>265.0710279142582</v>
      </c>
    </row>
    <row r="1002" spans="1:2" x14ac:dyDescent="0.3">
      <c r="A1002" s="2" t="s">
        <v>157</v>
      </c>
      <c r="B1002" s="76">
        <v>701.42082060585767</v>
      </c>
    </row>
    <row r="1003" spans="1:2" x14ac:dyDescent="0.3">
      <c r="A1003" s="2" t="s">
        <v>157</v>
      </c>
      <c r="B1003" s="76">
        <v>48.651095092617439</v>
      </c>
    </row>
    <row r="1004" spans="1:2" x14ac:dyDescent="0.3">
      <c r="A1004" s="2" t="s">
        <v>157</v>
      </c>
      <c r="B1004" s="76">
        <v>140.07568496551721</v>
      </c>
    </row>
    <row r="1005" spans="1:2" x14ac:dyDescent="0.3">
      <c r="A1005" s="2" t="s">
        <v>157</v>
      </c>
      <c r="B1005" s="76">
        <v>47.402722371253816</v>
      </c>
    </row>
    <row r="1006" spans="1:2" x14ac:dyDescent="0.3">
      <c r="A1006" s="2" t="s">
        <v>157</v>
      </c>
      <c r="B1006" s="76">
        <v>72.14121043311259</v>
      </c>
    </row>
    <row r="1007" spans="1:2" x14ac:dyDescent="0.3">
      <c r="A1007" s="2" t="s">
        <v>157</v>
      </c>
      <c r="B1007" s="76">
        <v>162.38556525216137</v>
      </c>
    </row>
    <row r="1008" spans="1:2" x14ac:dyDescent="0.3">
      <c r="A1008" s="2" t="s">
        <v>157</v>
      </c>
      <c r="B1008" s="76">
        <v>498.75200423225806</v>
      </c>
    </row>
    <row r="1009" spans="1:2" x14ac:dyDescent="0.3">
      <c r="A1009" s="2" t="s">
        <v>157</v>
      </c>
      <c r="B1009" s="76">
        <v>328.50481875525418</v>
      </c>
    </row>
    <row r="1010" spans="1:2" x14ac:dyDescent="0.3">
      <c r="A1010" s="2" t="s">
        <v>157</v>
      </c>
      <c r="B1010" s="76">
        <v>61.809058250847464</v>
      </c>
    </row>
    <row r="1011" spans="1:2" x14ac:dyDescent="0.3">
      <c r="A1011" s="2" t="s">
        <v>157</v>
      </c>
      <c r="B1011" s="76">
        <v>342.7912200673469</v>
      </c>
    </row>
    <row r="1012" spans="1:2" x14ac:dyDescent="0.3">
      <c r="A1012" s="2" t="s">
        <v>157</v>
      </c>
      <c r="B1012" s="76">
        <v>80.445675743624165</v>
      </c>
    </row>
    <row r="1013" spans="1:2" x14ac:dyDescent="0.3">
      <c r="A1013" s="2" t="s">
        <v>157</v>
      </c>
      <c r="B1013" s="76">
        <v>40.835470807453419</v>
      </c>
    </row>
    <row r="1014" spans="1:2" x14ac:dyDescent="0.3">
      <c r="A1014" s="2" t="s">
        <v>157</v>
      </c>
      <c r="B1014" s="76">
        <v>72.840577205882354</v>
      </c>
    </row>
    <row r="1015" spans="1:2" x14ac:dyDescent="0.3">
      <c r="A1015" s="2" t="s">
        <v>157</v>
      </c>
      <c r="B1015" s="76">
        <v>23.349415592783505</v>
      </c>
    </row>
    <row r="1016" spans="1:2" x14ac:dyDescent="0.3">
      <c r="A1016" s="2" t="s">
        <v>157</v>
      </c>
      <c r="B1016" s="76">
        <v>176.34743884778055</v>
      </c>
    </row>
    <row r="1017" spans="1:2" x14ac:dyDescent="0.3">
      <c r="A1017" s="2" t="s">
        <v>157</v>
      </c>
      <c r="B1017" s="76">
        <v>387.90904708705153</v>
      </c>
    </row>
    <row r="1018" spans="1:2" x14ac:dyDescent="0.3">
      <c r="A1018" s="2" t="s">
        <v>157</v>
      </c>
      <c r="B1018" s="76">
        <v>683.67141357441619</v>
      </c>
    </row>
    <row r="1019" spans="1:2" x14ac:dyDescent="0.3">
      <c r="A1019" s="2" t="s">
        <v>157</v>
      </c>
      <c r="B1019" s="76">
        <v>52.460221685965081</v>
      </c>
    </row>
    <row r="1020" spans="1:2" x14ac:dyDescent="0.3">
      <c r="A1020" s="2" t="s">
        <v>157</v>
      </c>
      <c r="B1020" s="76">
        <v>477.38754634110649</v>
      </c>
    </row>
    <row r="1021" spans="1:2" x14ac:dyDescent="0.3">
      <c r="A1021" s="2" t="s">
        <v>157</v>
      </c>
      <c r="B1021" s="76">
        <v>1142.6165658319028</v>
      </c>
    </row>
    <row r="1022" spans="1:2" x14ac:dyDescent="0.3">
      <c r="A1022" s="2" t="s">
        <v>157</v>
      </c>
      <c r="B1022" s="76">
        <v>852.46378834415202</v>
      </c>
    </row>
    <row r="1023" spans="1:2" x14ac:dyDescent="0.3">
      <c r="A1023" s="2" t="s">
        <v>157</v>
      </c>
      <c r="B1023" s="76">
        <v>409.42629238041008</v>
      </c>
    </row>
    <row r="1024" spans="1:2" x14ac:dyDescent="0.3">
      <c r="A1024" s="2" t="s">
        <v>157</v>
      </c>
      <c r="B1024" s="76">
        <v>102.4177840449411</v>
      </c>
    </row>
    <row r="1025" spans="1:2" x14ac:dyDescent="0.3">
      <c r="A1025" s="2" t="s">
        <v>157</v>
      </c>
      <c r="B1025" s="76">
        <v>509.521591679555</v>
      </c>
    </row>
    <row r="1026" spans="1:2" x14ac:dyDescent="0.3">
      <c r="A1026" s="2" t="s">
        <v>157</v>
      </c>
      <c r="B1026" s="76">
        <v>246.67270904567741</v>
      </c>
    </row>
    <row r="1027" spans="1:2" x14ac:dyDescent="0.3">
      <c r="A1027" s="2" t="s">
        <v>157</v>
      </c>
      <c r="B1027" s="76">
        <v>74.535771565368421</v>
      </c>
    </row>
    <row r="1028" spans="1:2" x14ac:dyDescent="0.3">
      <c r="A1028" s="2" t="s">
        <v>157</v>
      </c>
      <c r="B1028" s="76">
        <v>171.94423001652001</v>
      </c>
    </row>
    <row r="1029" spans="1:2" x14ac:dyDescent="0.3">
      <c r="A1029" s="2" t="s">
        <v>157</v>
      </c>
      <c r="B1029" s="76">
        <v>437.22516466196129</v>
      </c>
    </row>
    <row r="1030" spans="1:2" x14ac:dyDescent="0.3">
      <c r="A1030" s="2" t="s">
        <v>157</v>
      </c>
      <c r="B1030" s="76">
        <v>95.229817384068511</v>
      </c>
    </row>
    <row r="1031" spans="1:2" x14ac:dyDescent="0.3">
      <c r="A1031" s="2" t="s">
        <v>157</v>
      </c>
      <c r="B1031" s="76">
        <v>70.949119207486063</v>
      </c>
    </row>
    <row r="1032" spans="1:2" x14ac:dyDescent="0.3">
      <c r="A1032" s="2" t="s">
        <v>157</v>
      </c>
      <c r="B1032" s="76">
        <v>278.61484373922906</v>
      </c>
    </row>
    <row r="1033" spans="1:2" x14ac:dyDescent="0.3">
      <c r="A1033" s="2" t="s">
        <v>157</v>
      </c>
      <c r="B1033" s="76">
        <v>80.049762076918881</v>
      </c>
    </row>
    <row r="1034" spans="1:2" x14ac:dyDescent="0.3">
      <c r="A1034" s="2" t="s">
        <v>157</v>
      </c>
      <c r="B1034" s="76">
        <v>973.13061214652851</v>
      </c>
    </row>
    <row r="1035" spans="1:2" x14ac:dyDescent="0.3">
      <c r="A1035" s="2" t="s">
        <v>157</v>
      </c>
      <c r="B1035" s="76">
        <v>443.78458021008146</v>
      </c>
    </row>
    <row r="1036" spans="1:2" x14ac:dyDescent="0.3">
      <c r="A1036" s="2" t="s">
        <v>157</v>
      </c>
      <c r="B1036" s="76">
        <v>1070.5101007981182</v>
      </c>
    </row>
    <row r="1037" spans="1:2" x14ac:dyDescent="0.3">
      <c r="A1037" s="2" t="s">
        <v>157</v>
      </c>
      <c r="B1037" s="76">
        <v>565.39647188894014</v>
      </c>
    </row>
    <row r="1038" spans="1:2" x14ac:dyDescent="0.3">
      <c r="A1038" s="2" t="s">
        <v>157</v>
      </c>
      <c r="B1038" s="76">
        <v>222.0811392765259</v>
      </c>
    </row>
    <row r="1039" spans="1:2" x14ac:dyDescent="0.3">
      <c r="A1039" s="2" t="s">
        <v>157</v>
      </c>
      <c r="B1039" s="76">
        <v>863.9003204011492</v>
      </c>
    </row>
    <row r="1040" spans="1:2" x14ac:dyDescent="0.3">
      <c r="A1040" s="2" t="s">
        <v>157</v>
      </c>
      <c r="B1040" s="76">
        <v>75.441370903070862</v>
      </c>
    </row>
    <row r="1041" spans="1:2" x14ac:dyDescent="0.3">
      <c r="A1041" s="2" t="s">
        <v>157</v>
      </c>
      <c r="B1041" s="76">
        <v>44.143513376530535</v>
      </c>
    </row>
    <row r="1042" spans="1:2" x14ac:dyDescent="0.3">
      <c r="A1042" s="2" t="s">
        <v>157</v>
      </c>
      <c r="B1042" s="76">
        <v>63.347248345913997</v>
      </c>
    </row>
    <row r="1043" spans="1:2" x14ac:dyDescent="0.3">
      <c r="A1043" s="2" t="s">
        <v>157</v>
      </c>
      <c r="B1043" s="76">
        <v>247.58905177556244</v>
      </c>
    </row>
    <row r="1044" spans="1:2" x14ac:dyDescent="0.3">
      <c r="A1044" s="2" t="s">
        <v>157</v>
      </c>
      <c r="B1044" s="76">
        <v>17.41905256590579</v>
      </c>
    </row>
    <row r="1045" spans="1:2" x14ac:dyDescent="0.3">
      <c r="A1045" s="2" t="s">
        <v>157</v>
      </c>
      <c r="B1045" s="76">
        <v>66.141074203578114</v>
      </c>
    </row>
    <row r="1046" spans="1:2" x14ac:dyDescent="0.3">
      <c r="A1046" s="2" t="s">
        <v>157</v>
      </c>
      <c r="B1046" s="76">
        <v>206.62489269650592</v>
      </c>
    </row>
    <row r="1047" spans="1:2" x14ac:dyDescent="0.3">
      <c r="A1047" s="2" t="s">
        <v>157</v>
      </c>
      <c r="B1047" s="76">
        <v>28.085874171996291</v>
      </c>
    </row>
    <row r="1048" spans="1:2" x14ac:dyDescent="0.3">
      <c r="A1048" s="2" t="s">
        <v>157</v>
      </c>
      <c r="B1048" s="76">
        <v>115.2369295963861</v>
      </c>
    </row>
    <row r="1049" spans="1:2" x14ac:dyDescent="0.3">
      <c r="A1049" s="2" t="s">
        <v>157</v>
      </c>
      <c r="B1049" s="76">
        <v>131.7157077828702</v>
      </c>
    </row>
    <row r="1050" spans="1:2" x14ac:dyDescent="0.3">
      <c r="A1050" s="2" t="s">
        <v>157</v>
      </c>
      <c r="B1050" s="76">
        <v>126.01416505337775</v>
      </c>
    </row>
    <row r="1051" spans="1:2" x14ac:dyDescent="0.3">
      <c r="A1051" s="2" t="s">
        <v>157</v>
      </c>
      <c r="B1051" s="76">
        <v>153.88943370152612</v>
      </c>
    </row>
    <row r="1052" spans="1:2" x14ac:dyDescent="0.3">
      <c r="A1052" s="2" t="s">
        <v>157</v>
      </c>
      <c r="B1052" s="76">
        <v>539.42501825963268</v>
      </c>
    </row>
    <row r="1053" spans="1:2" x14ac:dyDescent="0.3">
      <c r="A1053" s="2" t="s">
        <v>157</v>
      </c>
      <c r="B1053" s="76">
        <v>113.35808842609254</v>
      </c>
    </row>
    <row r="1054" spans="1:2" x14ac:dyDescent="0.3">
      <c r="A1054" s="2" t="s">
        <v>157</v>
      </c>
      <c r="B1054" s="76">
        <v>434.03337093871602</v>
      </c>
    </row>
    <row r="1055" spans="1:2" x14ac:dyDescent="0.3">
      <c r="A1055" s="2" t="s">
        <v>157</v>
      </c>
      <c r="B1055" s="76">
        <v>204.94854456965359</v>
      </c>
    </row>
    <row r="1056" spans="1:2" x14ac:dyDescent="0.3">
      <c r="A1056" s="2" t="s">
        <v>157</v>
      </c>
      <c r="B1056" s="76">
        <v>308.64148027600527</v>
      </c>
    </row>
    <row r="1057" spans="1:2" x14ac:dyDescent="0.3">
      <c r="A1057" s="2" t="s">
        <v>157</v>
      </c>
      <c r="B1057" s="76">
        <v>876.75225727342308</v>
      </c>
    </row>
    <row r="1058" spans="1:2" x14ac:dyDescent="0.3">
      <c r="A1058" s="2" t="s">
        <v>157</v>
      </c>
      <c r="B1058" s="76">
        <v>76.463098976571274</v>
      </c>
    </row>
    <row r="1059" spans="1:2" x14ac:dyDescent="0.3">
      <c r="A1059" s="2" t="s">
        <v>157</v>
      </c>
      <c r="B1059" s="76">
        <v>84.738423023937443</v>
      </c>
    </row>
    <row r="1060" spans="1:2" x14ac:dyDescent="0.3">
      <c r="A1060" s="2" t="s">
        <v>157</v>
      </c>
      <c r="B1060" s="76">
        <v>45.443343721269557</v>
      </c>
    </row>
    <row r="1061" spans="1:2" x14ac:dyDescent="0.3">
      <c r="A1061" s="2" t="s">
        <v>157</v>
      </c>
      <c r="B1061" s="76">
        <v>91.379203675646238</v>
      </c>
    </row>
    <row r="1062" spans="1:2" x14ac:dyDescent="0.3">
      <c r="A1062" s="2" t="s">
        <v>157</v>
      </c>
      <c r="B1062" s="76">
        <v>1207.0003993208156</v>
      </c>
    </row>
    <row r="1063" spans="1:2" x14ac:dyDescent="0.3">
      <c r="A1063" s="2" t="s">
        <v>157</v>
      </c>
      <c r="B1063" s="76">
        <v>332.96194160418366</v>
      </c>
    </row>
    <row r="1064" spans="1:2" x14ac:dyDescent="0.3">
      <c r="A1064" s="2" t="s">
        <v>157</v>
      </c>
      <c r="B1064" s="76">
        <v>98.077803069895467</v>
      </c>
    </row>
    <row r="1065" spans="1:2" x14ac:dyDescent="0.3">
      <c r="A1065" s="2" t="s">
        <v>157</v>
      </c>
      <c r="B1065" s="76">
        <v>138.88192591909601</v>
      </c>
    </row>
    <row r="1066" spans="1:2" x14ac:dyDescent="0.3">
      <c r="A1066" s="2" t="s">
        <v>157</v>
      </c>
      <c r="B1066" s="76">
        <v>199.35231856888967</v>
      </c>
    </row>
    <row r="1067" spans="1:2" x14ac:dyDescent="0.3">
      <c r="A1067" s="2" t="s">
        <v>157</v>
      </c>
      <c r="B1067" s="76">
        <v>471.71887226333109</v>
      </c>
    </row>
    <row r="1068" spans="1:2" x14ac:dyDescent="0.3">
      <c r="A1068" s="2" t="s">
        <v>157</v>
      </c>
      <c r="B1068" s="76">
        <v>133.82301227903645</v>
      </c>
    </row>
    <row r="1069" spans="1:2" x14ac:dyDescent="0.3">
      <c r="A1069" s="2" t="s">
        <v>157</v>
      </c>
      <c r="B1069" s="76">
        <v>89.870343422699335</v>
      </c>
    </row>
    <row r="1070" spans="1:2" x14ac:dyDescent="0.3">
      <c r="A1070" s="2" t="s">
        <v>158</v>
      </c>
      <c r="B1070" s="76">
        <v>88.146641243302142</v>
      </c>
    </row>
    <row r="1071" spans="1:2" x14ac:dyDescent="0.3">
      <c r="A1071" s="2" t="s">
        <v>158</v>
      </c>
      <c r="B1071" s="76">
        <v>643.06002634382173</v>
      </c>
    </row>
    <row r="1072" spans="1:2" x14ac:dyDescent="0.3">
      <c r="A1072" s="2" t="s">
        <v>158</v>
      </c>
      <c r="B1072" s="76">
        <v>797.5298658840743</v>
      </c>
    </row>
    <row r="1073" spans="1:2" x14ac:dyDescent="0.3">
      <c r="A1073" s="2" t="s">
        <v>158</v>
      </c>
      <c r="B1073" s="76">
        <v>330.45032493303836</v>
      </c>
    </row>
    <row r="1074" spans="1:2" x14ac:dyDescent="0.3">
      <c r="A1074" s="2" t="s">
        <v>158</v>
      </c>
      <c r="B1074" s="76">
        <v>101.80909180625423</v>
      </c>
    </row>
    <row r="1075" spans="1:2" x14ac:dyDescent="0.3">
      <c r="A1075" s="2" t="s">
        <v>158</v>
      </c>
      <c r="B1075" s="76">
        <v>67.851459794566196</v>
      </c>
    </row>
    <row r="1076" spans="1:2" x14ac:dyDescent="0.3">
      <c r="A1076" s="2" t="s">
        <v>158</v>
      </c>
      <c r="B1076" s="76">
        <v>53.788929227237517</v>
      </c>
    </row>
    <row r="1077" spans="1:2" x14ac:dyDescent="0.3">
      <c r="A1077" s="2" t="s">
        <v>158</v>
      </c>
      <c r="B1077" s="76">
        <v>114.69016682393941</v>
      </c>
    </row>
    <row r="1078" spans="1:2" x14ac:dyDescent="0.3">
      <c r="A1078" s="2" t="s">
        <v>158</v>
      </c>
      <c r="B1078" s="76">
        <v>152.22926017744911</v>
      </c>
    </row>
    <row r="1079" spans="1:2" x14ac:dyDescent="0.3">
      <c r="A1079" s="2" t="s">
        <v>158</v>
      </c>
      <c r="B1079" s="76">
        <v>108.53438638693694</v>
      </c>
    </row>
    <row r="1080" spans="1:2" x14ac:dyDescent="0.3">
      <c r="A1080" s="2" t="s">
        <v>158</v>
      </c>
      <c r="B1080" s="76">
        <v>53.930103286993706</v>
      </c>
    </row>
    <row r="1081" spans="1:2" x14ac:dyDescent="0.3">
      <c r="A1081" s="2" t="s">
        <v>158</v>
      </c>
      <c r="B1081" s="76">
        <v>167.3633192995633</v>
      </c>
    </row>
    <row r="1082" spans="1:2" x14ac:dyDescent="0.3">
      <c r="A1082" s="2" t="s">
        <v>158</v>
      </c>
      <c r="B1082" s="76">
        <v>156.49997963500013</v>
      </c>
    </row>
    <row r="1083" spans="1:2" x14ac:dyDescent="0.3">
      <c r="A1083" s="2" t="s">
        <v>158</v>
      </c>
      <c r="B1083" s="76">
        <v>113.27093981115826</v>
      </c>
    </row>
    <row r="1084" spans="1:2" x14ac:dyDescent="0.3">
      <c r="A1084" s="2" t="s">
        <v>158</v>
      </c>
      <c r="B1084" s="76">
        <v>84.264743373937264</v>
      </c>
    </row>
    <row r="1085" spans="1:2" x14ac:dyDescent="0.3">
      <c r="A1085" s="2" t="s">
        <v>158</v>
      </c>
      <c r="B1085" s="76">
        <v>61.464174648886299</v>
      </c>
    </row>
    <row r="1086" spans="1:2" x14ac:dyDescent="0.3">
      <c r="A1086" s="2" t="s">
        <v>158</v>
      </c>
      <c r="B1086" s="76">
        <v>184.38230356964721</v>
      </c>
    </row>
    <row r="1087" spans="1:2" x14ac:dyDescent="0.3">
      <c r="A1087" s="2" t="s">
        <v>158</v>
      </c>
      <c r="B1087" s="76">
        <v>30.807567373997031</v>
      </c>
    </row>
    <row r="1088" spans="1:2" x14ac:dyDescent="0.3">
      <c r="A1088" s="2" t="s">
        <v>158</v>
      </c>
      <c r="B1088" s="76">
        <v>105.03252244550795</v>
      </c>
    </row>
    <row r="1089" spans="1:2" x14ac:dyDescent="0.3">
      <c r="A1089" s="2" t="s">
        <v>158</v>
      </c>
      <c r="B1089" s="76">
        <v>100.16394782751173</v>
      </c>
    </row>
    <row r="1090" spans="1:2" x14ac:dyDescent="0.3">
      <c r="A1090" s="2" t="s">
        <v>158</v>
      </c>
      <c r="B1090" s="76">
        <v>69.880059184368903</v>
      </c>
    </row>
    <row r="1091" spans="1:2" x14ac:dyDescent="0.3">
      <c r="A1091" s="2" t="s">
        <v>158</v>
      </c>
      <c r="B1091" s="76">
        <v>73.930162681484205</v>
      </c>
    </row>
    <row r="1092" spans="1:2" x14ac:dyDescent="0.3">
      <c r="A1092" s="2" t="s">
        <v>158</v>
      </c>
      <c r="B1092" s="76">
        <v>81.859824675151643</v>
      </c>
    </row>
    <row r="1093" spans="1:2" x14ac:dyDescent="0.3">
      <c r="A1093" s="2" t="s">
        <v>158</v>
      </c>
      <c r="B1093" s="76">
        <v>37.489859626692365</v>
      </c>
    </row>
    <row r="1094" spans="1:2" x14ac:dyDescent="0.3">
      <c r="A1094" s="2" t="s">
        <v>158</v>
      </c>
      <c r="B1094" s="76">
        <v>60.913792127941662</v>
      </c>
    </row>
    <row r="1095" spans="1:2" x14ac:dyDescent="0.3">
      <c r="A1095" s="2" t="s">
        <v>158</v>
      </c>
      <c r="B1095" s="76">
        <v>84.733937733562911</v>
      </c>
    </row>
    <row r="1096" spans="1:2" x14ac:dyDescent="0.3">
      <c r="A1096" s="2" t="s">
        <v>158</v>
      </c>
      <c r="B1096" s="76">
        <v>53.09753788008603</v>
      </c>
    </row>
    <row r="1097" spans="1:2" x14ac:dyDescent="0.3">
      <c r="A1097" s="2" t="s">
        <v>158</v>
      </c>
      <c r="B1097" s="76">
        <v>138.15139982167074</v>
      </c>
    </row>
    <row r="1098" spans="1:2" x14ac:dyDescent="0.3">
      <c r="A1098" s="2" t="s">
        <v>158</v>
      </c>
      <c r="B1098" s="76">
        <v>220.28345801352725</v>
      </c>
    </row>
    <row r="1099" spans="1:2" x14ac:dyDescent="0.3">
      <c r="A1099" s="2" t="s">
        <v>158</v>
      </c>
      <c r="B1099" s="76">
        <v>48.618712938934173</v>
      </c>
    </row>
    <row r="1100" spans="1:2" x14ac:dyDescent="0.3">
      <c r="A1100" s="2" t="s">
        <v>158</v>
      </c>
      <c r="B1100" s="76">
        <v>50.515477833262089</v>
      </c>
    </row>
    <row r="1101" spans="1:2" x14ac:dyDescent="0.3">
      <c r="A1101" s="2" t="s">
        <v>158</v>
      </c>
      <c r="B1101" s="76">
        <v>40.79655195191517</v>
      </c>
    </row>
    <row r="1102" spans="1:2" x14ac:dyDescent="0.3">
      <c r="A1102" s="2" t="s">
        <v>158</v>
      </c>
      <c r="B1102" s="76">
        <v>308.87501703996196</v>
      </c>
    </row>
    <row r="1103" spans="1:2" x14ac:dyDescent="0.3">
      <c r="A1103" s="2" t="s">
        <v>158</v>
      </c>
      <c r="B1103" s="76">
        <v>102.58398022914031</v>
      </c>
    </row>
    <row r="1104" spans="1:2" x14ac:dyDescent="0.3">
      <c r="A1104" s="2" t="s">
        <v>158</v>
      </c>
      <c r="B1104" s="76">
        <v>271.49088315529576</v>
      </c>
    </row>
    <row r="1105" spans="1:2" x14ac:dyDescent="0.3">
      <c r="A1105" s="2" t="s">
        <v>158</v>
      </c>
      <c r="B1105" s="76">
        <v>99.130695973273689</v>
      </c>
    </row>
    <row r="1106" spans="1:2" x14ac:dyDescent="0.3">
      <c r="A1106" s="2" t="s">
        <v>158</v>
      </c>
      <c r="B1106" s="76">
        <v>73.199074766530771</v>
      </c>
    </row>
    <row r="1107" spans="1:2" x14ac:dyDescent="0.3">
      <c r="A1107" s="2" t="s">
        <v>158</v>
      </c>
      <c r="B1107" s="76">
        <v>72.112598661352052</v>
      </c>
    </row>
    <row r="1108" spans="1:2" x14ac:dyDescent="0.3">
      <c r="A1108" s="2" t="s">
        <v>158</v>
      </c>
      <c r="B1108" s="76">
        <v>58.994728426745795</v>
      </c>
    </row>
    <row r="1109" spans="1:2" x14ac:dyDescent="0.3">
      <c r="A1109" s="2" t="s">
        <v>158</v>
      </c>
      <c r="B1109" s="76">
        <v>96.640370624522191</v>
      </c>
    </row>
    <row r="1110" spans="1:2" x14ac:dyDescent="0.3">
      <c r="A1110" s="2" t="s">
        <v>158</v>
      </c>
      <c r="B1110" s="76">
        <v>63.212107769748243</v>
      </c>
    </row>
    <row r="1111" spans="1:2" x14ac:dyDescent="0.3">
      <c r="A1111" s="2" t="s">
        <v>158</v>
      </c>
      <c r="B1111" s="76">
        <v>97.002098660440055</v>
      </c>
    </row>
    <row r="1112" spans="1:2" x14ac:dyDescent="0.3">
      <c r="A1112" s="2" t="s">
        <v>158</v>
      </c>
      <c r="B1112" s="76">
        <v>107.75603481641892</v>
      </c>
    </row>
    <row r="1113" spans="1:2" x14ac:dyDescent="0.3">
      <c r="A1113" s="2" t="s">
        <v>158</v>
      </c>
      <c r="B1113" s="76">
        <v>173.36682268688386</v>
      </c>
    </row>
    <row r="1114" spans="1:2" x14ac:dyDescent="0.3">
      <c r="A1114" s="2" t="s">
        <v>158</v>
      </c>
      <c r="B1114" s="76">
        <v>342.62842052046557</v>
      </c>
    </row>
    <row r="1115" spans="1:2" x14ac:dyDescent="0.3">
      <c r="A1115" s="2" t="s">
        <v>158</v>
      </c>
      <c r="B1115" s="76">
        <v>250.83620713645789</v>
      </c>
    </row>
    <row r="1116" spans="1:2" x14ac:dyDescent="0.3">
      <c r="A1116" s="2" t="s">
        <v>158</v>
      </c>
      <c r="B1116" s="76">
        <v>42.140088438094011</v>
      </c>
    </row>
    <row r="1117" spans="1:2" x14ac:dyDescent="0.3">
      <c r="A1117" s="2" t="s">
        <v>158</v>
      </c>
      <c r="B1117" s="76">
        <v>73.219883097835918</v>
      </c>
    </row>
    <row r="1118" spans="1:2" x14ac:dyDescent="0.3">
      <c r="A1118" s="2" t="s">
        <v>158</v>
      </c>
      <c r="B1118" s="76">
        <v>24.839895647112268</v>
      </c>
    </row>
    <row r="1119" spans="1:2" x14ac:dyDescent="0.3">
      <c r="A1119" s="2" t="s">
        <v>158</v>
      </c>
      <c r="B1119" s="76">
        <v>108.78968964689754</v>
      </c>
    </row>
    <row r="1120" spans="1:2" x14ac:dyDescent="0.3">
      <c r="A1120" s="2" t="s">
        <v>158</v>
      </c>
      <c r="B1120" s="76">
        <v>94.015283361740316</v>
      </c>
    </row>
    <row r="1121" spans="1:2" x14ac:dyDescent="0.3">
      <c r="A1121" s="2" t="s">
        <v>158</v>
      </c>
      <c r="B1121" s="76">
        <v>62.741565081542355</v>
      </c>
    </row>
    <row r="1122" spans="1:2" x14ac:dyDescent="0.3">
      <c r="A1122" s="2" t="s">
        <v>158</v>
      </c>
      <c r="B1122" s="76">
        <v>26.092940166729182</v>
      </c>
    </row>
    <row r="1123" spans="1:2" x14ac:dyDescent="0.3">
      <c r="A1123" s="2" t="s">
        <v>158</v>
      </c>
      <c r="B1123" s="76">
        <v>225.90588651477634</v>
      </c>
    </row>
    <row r="1124" spans="1:2" x14ac:dyDescent="0.3">
      <c r="A1124" s="2" t="s">
        <v>158</v>
      </c>
      <c r="B1124" s="76">
        <v>191.10494163438921</v>
      </c>
    </row>
    <row r="1125" spans="1:2" x14ac:dyDescent="0.3">
      <c r="A1125" s="2" t="s">
        <v>158</v>
      </c>
      <c r="B1125" s="76">
        <v>61.205897152228495</v>
      </c>
    </row>
    <row r="1126" spans="1:2" x14ac:dyDescent="0.3">
      <c r="A1126" s="2" t="s">
        <v>158</v>
      </c>
      <c r="B1126" s="76">
        <v>58.215640413163335</v>
      </c>
    </row>
    <row r="1127" spans="1:2" x14ac:dyDescent="0.3">
      <c r="A1127" s="2" t="s">
        <v>158</v>
      </c>
      <c r="B1127" s="76">
        <v>43.383613980599669</v>
      </c>
    </row>
    <row r="1128" spans="1:2" x14ac:dyDescent="0.3">
      <c r="A1128" s="2" t="s">
        <v>158</v>
      </c>
      <c r="B1128" s="76">
        <v>430.51506535806618</v>
      </c>
    </row>
    <row r="1129" spans="1:2" x14ac:dyDescent="0.3">
      <c r="A1129" s="2" t="s">
        <v>158</v>
      </c>
      <c r="B1129" s="76">
        <v>481.73959080859117</v>
      </c>
    </row>
    <row r="1130" spans="1:2" x14ac:dyDescent="0.3">
      <c r="A1130" s="2" t="s">
        <v>158</v>
      </c>
      <c r="B1130" s="76">
        <v>37.024378886917354</v>
      </c>
    </row>
    <row r="1131" spans="1:2" x14ac:dyDescent="0.3">
      <c r="A1131" s="2" t="s">
        <v>158</v>
      </c>
      <c r="B1131" s="76">
        <v>279.06796892180103</v>
      </c>
    </row>
    <row r="1132" spans="1:2" x14ac:dyDescent="0.3">
      <c r="A1132" s="2" t="s">
        <v>158</v>
      </c>
      <c r="B1132" s="76">
        <v>7.6734076781414435</v>
      </c>
    </row>
    <row r="1133" spans="1:2" x14ac:dyDescent="0.3">
      <c r="A1133" s="2" t="s">
        <v>158</v>
      </c>
      <c r="B1133" s="76">
        <v>12.797719405074604</v>
      </c>
    </row>
    <row r="1134" spans="1:2" x14ac:dyDescent="0.3">
      <c r="A1134" s="2" t="s">
        <v>158</v>
      </c>
      <c r="B1134" s="76">
        <v>9.079629744672193</v>
      </c>
    </row>
    <row r="1135" spans="1:2" x14ac:dyDescent="0.3">
      <c r="A1135" s="2" t="s">
        <v>158</v>
      </c>
      <c r="B1135" s="76">
        <v>25.439744910365835</v>
      </c>
    </row>
    <row r="1136" spans="1:2" x14ac:dyDescent="0.3">
      <c r="A1136" s="2" t="s">
        <v>158</v>
      </c>
      <c r="B1136" s="76">
        <v>20.839615056669487</v>
      </c>
    </row>
    <row r="1137" spans="1:2" x14ac:dyDescent="0.3">
      <c r="A1137" s="2" t="s">
        <v>158</v>
      </c>
      <c r="B1137" s="76">
        <v>13.565177033906943</v>
      </c>
    </row>
    <row r="1138" spans="1:2" x14ac:dyDescent="0.3">
      <c r="A1138" s="2" t="s">
        <v>158</v>
      </c>
      <c r="B1138" s="76">
        <v>13.105900860411417</v>
      </c>
    </row>
    <row r="1139" spans="1:2" x14ac:dyDescent="0.3">
      <c r="A1139" s="2" t="s">
        <v>158</v>
      </c>
      <c r="B1139" s="76">
        <v>63.090379653480802</v>
      </c>
    </row>
    <row r="1140" spans="1:2" x14ac:dyDescent="0.3">
      <c r="A1140" s="2" t="s">
        <v>158</v>
      </c>
      <c r="B1140" s="76">
        <v>39.776983897408016</v>
      </c>
    </row>
    <row r="1141" spans="1:2" x14ac:dyDescent="0.3">
      <c r="A1141" s="2" t="s">
        <v>158</v>
      </c>
      <c r="B1141" s="76">
        <v>58.390375744348631</v>
      </c>
    </row>
    <row r="1142" spans="1:2" x14ac:dyDescent="0.3">
      <c r="A1142" s="2" t="s">
        <v>158</v>
      </c>
      <c r="B1142" s="76">
        <v>62.357500272211475</v>
      </c>
    </row>
    <row r="1143" spans="1:2" x14ac:dyDescent="0.3">
      <c r="A1143" s="2" t="s">
        <v>158</v>
      </c>
      <c r="B1143" s="76">
        <v>18.348208998966758</v>
      </c>
    </row>
    <row r="1144" spans="1:2" x14ac:dyDescent="0.3">
      <c r="A1144" s="2" t="s">
        <v>158</v>
      </c>
      <c r="B1144" s="76">
        <v>48.071806769321661</v>
      </c>
    </row>
    <row r="1145" spans="1:2" x14ac:dyDescent="0.3">
      <c r="A1145" s="2" t="s">
        <v>158</v>
      </c>
      <c r="B1145" s="76">
        <v>75.449115057899988</v>
      </c>
    </row>
    <row r="1146" spans="1:2" x14ac:dyDescent="0.3">
      <c r="A1146" s="2" t="s">
        <v>158</v>
      </c>
      <c r="B1146" s="76">
        <v>65.925159127278846</v>
      </c>
    </row>
    <row r="1147" spans="1:2" x14ac:dyDescent="0.3">
      <c r="A1147" s="2" t="s">
        <v>158</v>
      </c>
      <c r="B1147" s="76">
        <v>30.261018784848254</v>
      </c>
    </row>
    <row r="1148" spans="1:2" x14ac:dyDescent="0.3">
      <c r="A1148" s="2" t="s">
        <v>158</v>
      </c>
      <c r="B1148" s="76">
        <v>59.088426332052592</v>
      </c>
    </row>
    <row r="1149" spans="1:2" x14ac:dyDescent="0.3">
      <c r="A1149" s="2" t="s">
        <v>158</v>
      </c>
      <c r="B1149" s="76">
        <v>164.2432295155501</v>
      </c>
    </row>
    <row r="1150" spans="1:2" x14ac:dyDescent="0.3">
      <c r="A1150" s="2" t="s">
        <v>158</v>
      </c>
      <c r="B1150" s="76">
        <v>55.819322345441336</v>
      </c>
    </row>
    <row r="1151" spans="1:2" x14ac:dyDescent="0.3">
      <c r="A1151" s="2" t="s">
        <v>158</v>
      </c>
      <c r="B1151" s="76">
        <v>110.44584815000421</v>
      </c>
    </row>
    <row r="1152" spans="1:2" x14ac:dyDescent="0.3">
      <c r="A1152" s="2" t="s">
        <v>158</v>
      </c>
      <c r="B1152" s="76">
        <v>27.735449378868587</v>
      </c>
    </row>
    <row r="1153" spans="1:2" x14ac:dyDescent="0.3">
      <c r="A1153" s="2" t="s">
        <v>158</v>
      </c>
      <c r="B1153" s="76">
        <v>29.862865718884397</v>
      </c>
    </row>
    <row r="1154" spans="1:2" x14ac:dyDescent="0.3">
      <c r="A1154" s="2" t="s">
        <v>158</v>
      </c>
      <c r="B1154" s="76">
        <v>46.340363566343278</v>
      </c>
    </row>
    <row r="1155" spans="1:2" x14ac:dyDescent="0.3">
      <c r="A1155" s="2" t="s">
        <v>158</v>
      </c>
      <c r="B1155" s="76">
        <v>47.834376051593516</v>
      </c>
    </row>
    <row r="1156" spans="1:2" x14ac:dyDescent="0.3">
      <c r="A1156" s="2" t="s">
        <v>158</v>
      </c>
      <c r="B1156" s="76">
        <v>40.35311727239008</v>
      </c>
    </row>
    <row r="1157" spans="1:2" x14ac:dyDescent="0.3">
      <c r="A1157" s="2" t="s">
        <v>158</v>
      </c>
      <c r="B1157" s="76">
        <v>38.662348411836803</v>
      </c>
    </row>
    <row r="1158" spans="1:2" x14ac:dyDescent="0.3">
      <c r="A1158" s="2" t="s">
        <v>158</v>
      </c>
      <c r="B1158" s="76">
        <v>36.034078301921397</v>
      </c>
    </row>
    <row r="1159" spans="1:2" x14ac:dyDescent="0.3">
      <c r="A1159" s="2" t="s">
        <v>158</v>
      </c>
      <c r="B1159" s="76">
        <v>41.234720124023347</v>
      </c>
    </row>
    <row r="1160" spans="1:2" x14ac:dyDescent="0.3">
      <c r="A1160" s="2" t="s">
        <v>158</v>
      </c>
      <c r="B1160" s="76">
        <v>66.132972009403403</v>
      </c>
    </row>
    <row r="1161" spans="1:2" x14ac:dyDescent="0.3">
      <c r="A1161" s="2" t="s">
        <v>158</v>
      </c>
      <c r="B1161" s="76">
        <v>59.147933302101769</v>
      </c>
    </row>
    <row r="1162" spans="1:2" x14ac:dyDescent="0.3">
      <c r="A1162" s="2" t="s">
        <v>158</v>
      </c>
      <c r="B1162" s="76">
        <v>314.61849402512235</v>
      </c>
    </row>
    <row r="1163" spans="1:2" x14ac:dyDescent="0.3">
      <c r="A1163" s="2" t="s">
        <v>158</v>
      </c>
      <c r="B1163" s="76">
        <v>52.893725791988182</v>
      </c>
    </row>
    <row r="1164" spans="1:2" x14ac:dyDescent="0.3">
      <c r="A1164" s="2" t="s">
        <v>158</v>
      </c>
      <c r="B1164" s="76">
        <v>95.559919524165508</v>
      </c>
    </row>
    <row r="1165" spans="1:2" x14ac:dyDescent="0.3">
      <c r="A1165" s="2" t="s">
        <v>158</v>
      </c>
      <c r="B1165" s="76">
        <v>256.58333558612424</v>
      </c>
    </row>
    <row r="1166" spans="1:2" x14ac:dyDescent="0.3">
      <c r="A1166" s="2" t="s">
        <v>158</v>
      </c>
      <c r="B1166" s="76">
        <v>25.829753348130183</v>
      </c>
    </row>
    <row r="1167" spans="1:2" x14ac:dyDescent="0.3">
      <c r="A1167" s="2" t="s">
        <v>158</v>
      </c>
      <c r="B1167" s="76">
        <v>41.89592276451657</v>
      </c>
    </row>
    <row r="1168" spans="1:2" x14ac:dyDescent="0.3">
      <c r="A1168" s="2" t="s">
        <v>158</v>
      </c>
      <c r="B1168" s="76">
        <v>33.813566190380449</v>
      </c>
    </row>
    <row r="1169" spans="1:2" x14ac:dyDescent="0.3">
      <c r="A1169" s="2" t="s">
        <v>158</v>
      </c>
      <c r="B1169" s="76">
        <v>75.677968221351819</v>
      </c>
    </row>
    <row r="1170" spans="1:2" x14ac:dyDescent="0.3">
      <c r="A1170" s="2" t="s">
        <v>158</v>
      </c>
      <c r="B1170" s="76">
        <v>108.27507628589575</v>
      </c>
    </row>
    <row r="1171" spans="1:2" x14ac:dyDescent="0.3">
      <c r="A1171" s="2" t="s">
        <v>158</v>
      </c>
      <c r="B1171" s="76">
        <v>27.669844641226401</v>
      </c>
    </row>
    <row r="1172" spans="1:2" x14ac:dyDescent="0.3">
      <c r="A1172" s="2" t="s">
        <v>158</v>
      </c>
      <c r="B1172" s="76">
        <v>84.572472313041146</v>
      </c>
    </row>
    <row r="1173" spans="1:2" x14ac:dyDescent="0.3">
      <c r="A1173" s="2" t="s">
        <v>158</v>
      </c>
      <c r="B1173" s="76">
        <v>33.540425826412473</v>
      </c>
    </row>
    <row r="1174" spans="1:2" x14ac:dyDescent="0.3">
      <c r="A1174" s="2" t="s">
        <v>158</v>
      </c>
      <c r="B1174" s="76">
        <v>206.70893005715371</v>
      </c>
    </row>
    <row r="1175" spans="1:2" x14ac:dyDescent="0.3">
      <c r="A1175" s="2" t="s">
        <v>158</v>
      </c>
      <c r="B1175" s="76">
        <v>109.89016242522811</v>
      </c>
    </row>
    <row r="1176" spans="1:2" x14ac:dyDescent="0.3">
      <c r="A1176" s="2" t="s">
        <v>158</v>
      </c>
      <c r="B1176" s="76">
        <v>107.55674627784676</v>
      </c>
    </row>
    <row r="1177" spans="1:2" x14ac:dyDescent="0.3">
      <c r="A1177" s="2" t="s">
        <v>158</v>
      </c>
      <c r="B1177" s="76">
        <v>80.468737409728789</v>
      </c>
    </row>
    <row r="1178" spans="1:2" x14ac:dyDescent="0.3">
      <c r="A1178" s="2" t="s">
        <v>158</v>
      </c>
      <c r="B1178" s="76">
        <v>46.33307588428837</v>
      </c>
    </row>
    <row r="1179" spans="1:2" x14ac:dyDescent="0.3">
      <c r="A1179" s="2" t="s">
        <v>158</v>
      </c>
      <c r="B1179" s="76">
        <v>260.46100241808335</v>
      </c>
    </row>
    <row r="1180" spans="1:2" x14ac:dyDescent="0.3">
      <c r="A1180" s="2" t="s">
        <v>158</v>
      </c>
      <c r="B1180" s="76">
        <v>673.31192321658455</v>
      </c>
    </row>
    <row r="1181" spans="1:2" x14ac:dyDescent="0.3">
      <c r="A1181" s="2" t="s">
        <v>158</v>
      </c>
      <c r="B1181" s="76">
        <v>49.790161749182154</v>
      </c>
    </row>
    <row r="1182" spans="1:2" x14ac:dyDescent="0.3">
      <c r="A1182" s="2" t="s">
        <v>158</v>
      </c>
      <c r="B1182" s="76">
        <v>139.76266990555814</v>
      </c>
    </row>
    <row r="1183" spans="1:2" x14ac:dyDescent="0.3">
      <c r="A1183" s="2" t="s">
        <v>158</v>
      </c>
      <c r="B1183" s="76">
        <v>48.542835974039988</v>
      </c>
    </row>
    <row r="1184" spans="1:2" x14ac:dyDescent="0.3">
      <c r="A1184" s="2" t="s">
        <v>158</v>
      </c>
      <c r="B1184" s="76">
        <v>73.135487808863445</v>
      </c>
    </row>
    <row r="1185" spans="1:2" x14ac:dyDescent="0.3">
      <c r="A1185" s="2" t="s">
        <v>158</v>
      </c>
      <c r="B1185" s="76">
        <v>161.44902365326683</v>
      </c>
    </row>
    <row r="1186" spans="1:2" x14ac:dyDescent="0.3">
      <c r="A1186" s="2" t="s">
        <v>158</v>
      </c>
      <c r="B1186" s="76">
        <v>482.69918099264936</v>
      </c>
    </row>
    <row r="1187" spans="1:2" x14ac:dyDescent="0.3">
      <c r="A1187" s="2" t="s">
        <v>158</v>
      </c>
      <c r="B1187" s="76">
        <v>321.13369942874283</v>
      </c>
    </row>
    <row r="1188" spans="1:2" x14ac:dyDescent="0.3">
      <c r="A1188" s="2" t="s">
        <v>158</v>
      </c>
      <c r="B1188" s="76">
        <v>62.893826058894199</v>
      </c>
    </row>
    <row r="1189" spans="1:2" x14ac:dyDescent="0.3">
      <c r="A1189" s="2" t="s">
        <v>158</v>
      </c>
      <c r="B1189" s="76">
        <v>334.75734669186596</v>
      </c>
    </row>
    <row r="1190" spans="1:2" x14ac:dyDescent="0.3">
      <c r="A1190" s="2" t="s">
        <v>158</v>
      </c>
      <c r="B1190" s="76">
        <v>81.341425469080789</v>
      </c>
    </row>
    <row r="1191" spans="1:2" x14ac:dyDescent="0.3">
      <c r="A1191" s="2" t="s">
        <v>158</v>
      </c>
      <c r="B1191" s="76">
        <v>41.967568234387777</v>
      </c>
    </row>
    <row r="1192" spans="1:2" x14ac:dyDescent="0.3">
      <c r="A1192" s="2" t="s">
        <v>158</v>
      </c>
      <c r="B1192" s="76">
        <v>73.827397145167581</v>
      </c>
    </row>
    <row r="1193" spans="1:2" x14ac:dyDescent="0.3">
      <c r="A1193" s="2" t="s">
        <v>158</v>
      </c>
      <c r="B1193" s="76">
        <v>24.320837754272034</v>
      </c>
    </row>
    <row r="1194" spans="1:2" x14ac:dyDescent="0.3">
      <c r="A1194" s="2" t="s">
        <v>158</v>
      </c>
      <c r="B1194" s="76">
        <v>174.98363603353306</v>
      </c>
    </row>
    <row r="1195" spans="1:2" x14ac:dyDescent="0.3">
      <c r="A1195" s="2" t="s">
        <v>158</v>
      </c>
      <c r="B1195" s="76">
        <v>377.69525652615175</v>
      </c>
    </row>
    <row r="1196" spans="1:2" x14ac:dyDescent="0.3">
      <c r="A1196" s="2" t="s">
        <v>158</v>
      </c>
      <c r="B1196" s="76">
        <v>656.67763088313222</v>
      </c>
    </row>
    <row r="1197" spans="1:2" x14ac:dyDescent="0.3">
      <c r="A1197" s="2" t="s">
        <v>158</v>
      </c>
      <c r="B1197" s="76">
        <v>53.591429095261901</v>
      </c>
    </row>
    <row r="1198" spans="1:2" x14ac:dyDescent="0.3">
      <c r="A1198" s="2" t="s">
        <v>158</v>
      </c>
      <c r="B1198" s="76">
        <v>462.50807442063626</v>
      </c>
    </row>
    <row r="1199" spans="1:2" x14ac:dyDescent="0.3">
      <c r="A1199" s="2" t="s">
        <v>158</v>
      </c>
      <c r="B1199" s="76">
        <v>1084.0568139281822</v>
      </c>
    </row>
    <row r="1200" spans="1:2" x14ac:dyDescent="0.3">
      <c r="A1200" s="2" t="s">
        <v>158</v>
      </c>
      <c r="B1200" s="76">
        <v>814.48081106697123</v>
      </c>
    </row>
    <row r="1201" spans="1:2" x14ac:dyDescent="0.3">
      <c r="A1201" s="2" t="s">
        <v>158</v>
      </c>
      <c r="B1201" s="76">
        <v>398.12976800021079</v>
      </c>
    </row>
    <row r="1202" spans="1:2" x14ac:dyDescent="0.3">
      <c r="A1202" s="2" t="s">
        <v>158</v>
      </c>
      <c r="B1202" s="76">
        <v>102.95975625215505</v>
      </c>
    </row>
    <row r="1203" spans="1:2" x14ac:dyDescent="0.3">
      <c r="A1203" s="2" t="s">
        <v>158</v>
      </c>
      <c r="B1203" s="76">
        <v>492.86937097590055</v>
      </c>
    </row>
    <row r="1204" spans="1:2" x14ac:dyDescent="0.3">
      <c r="A1204" s="2" t="s">
        <v>158</v>
      </c>
      <c r="B1204" s="76">
        <v>242.80148391391114</v>
      </c>
    </row>
    <row r="1205" spans="1:2" x14ac:dyDescent="0.3">
      <c r="A1205" s="2" t="s">
        <v>158</v>
      </c>
      <c r="B1205" s="76">
        <v>75.503856946655816</v>
      </c>
    </row>
    <row r="1206" spans="1:2" x14ac:dyDescent="0.3">
      <c r="A1206" s="2" t="s">
        <v>158</v>
      </c>
      <c r="B1206" s="76">
        <v>170.71805093263515</v>
      </c>
    </row>
    <row r="1207" spans="1:2" x14ac:dyDescent="0.3">
      <c r="A1207" s="2" t="s">
        <v>158</v>
      </c>
      <c r="B1207" s="76">
        <v>424.49185943663838</v>
      </c>
    </row>
    <row r="1208" spans="1:2" x14ac:dyDescent="0.3">
      <c r="A1208" s="2" t="s">
        <v>158</v>
      </c>
      <c r="B1208" s="76">
        <v>95.901089352373248</v>
      </c>
    </row>
    <row r="1209" spans="1:2" x14ac:dyDescent="0.3">
      <c r="A1209" s="2" t="s">
        <v>158</v>
      </c>
      <c r="B1209" s="76">
        <v>71.955736017915456</v>
      </c>
    </row>
    <row r="1210" spans="1:2" x14ac:dyDescent="0.3">
      <c r="A1210" s="2" t="s">
        <v>158</v>
      </c>
      <c r="B1210" s="76">
        <v>273.44204180539793</v>
      </c>
    </row>
    <row r="1211" spans="1:2" x14ac:dyDescent="0.3">
      <c r="A1211" s="2" t="s">
        <v>158</v>
      </c>
      <c r="B1211" s="76">
        <v>80.950687983819691</v>
      </c>
    </row>
    <row r="1212" spans="1:2" x14ac:dyDescent="0.3">
      <c r="A1212" s="2" t="s">
        <v>158</v>
      </c>
      <c r="B1212" s="76">
        <v>926.8216434763774</v>
      </c>
    </row>
    <row r="1213" spans="1:2" x14ac:dyDescent="0.3">
      <c r="A1213" s="2" t="s">
        <v>158</v>
      </c>
      <c r="B1213" s="76">
        <v>430.70629062858717</v>
      </c>
    </row>
    <row r="1214" spans="1:2" x14ac:dyDescent="0.3">
      <c r="A1214" s="2" t="s">
        <v>158</v>
      </c>
      <c r="B1214" s="76">
        <v>1017.2360216209323</v>
      </c>
    </row>
    <row r="1215" spans="1:2" x14ac:dyDescent="0.3">
      <c r="A1215" s="2" t="s">
        <v>158</v>
      </c>
      <c r="B1215" s="76">
        <v>545.55401913898083</v>
      </c>
    </row>
    <row r="1216" spans="1:2" x14ac:dyDescent="0.3">
      <c r="A1216" s="2" t="s">
        <v>158</v>
      </c>
      <c r="B1216" s="76">
        <v>219.14750784255742</v>
      </c>
    </row>
    <row r="1217" spans="1:2" x14ac:dyDescent="0.3">
      <c r="A1217" s="2" t="s">
        <v>158</v>
      </c>
      <c r="B1217" s="76">
        <v>825.14381284789249</v>
      </c>
    </row>
    <row r="1218" spans="1:2" x14ac:dyDescent="0.3">
      <c r="A1218" s="2" t="s">
        <v>158</v>
      </c>
      <c r="B1218" s="76">
        <v>76.399071711818493</v>
      </c>
    </row>
    <row r="1219" spans="1:2" x14ac:dyDescent="0.3">
      <c r="A1219" s="2" t="s">
        <v>158</v>
      </c>
      <c r="B1219" s="76">
        <v>45.28258696725802</v>
      </c>
    </row>
    <row r="1220" spans="1:2" x14ac:dyDescent="0.3">
      <c r="A1220" s="2" t="s">
        <v>158</v>
      </c>
      <c r="B1220" s="76">
        <v>64.42099502723562</v>
      </c>
    </row>
    <row r="1221" spans="1:2" x14ac:dyDescent="0.3">
      <c r="A1221" s="2" t="s">
        <v>158</v>
      </c>
      <c r="B1221" s="76">
        <v>243.68175949303929</v>
      </c>
    </row>
    <row r="1222" spans="1:2" x14ac:dyDescent="0.3">
      <c r="A1222" s="2" t="s">
        <v>158</v>
      </c>
      <c r="B1222" s="76">
        <v>18.271789392578764</v>
      </c>
    </row>
    <row r="1223" spans="1:2" x14ac:dyDescent="0.3">
      <c r="A1223" s="2" t="s">
        <v>158</v>
      </c>
      <c r="B1223" s="76">
        <v>67.192542383135475</v>
      </c>
    </row>
    <row r="1224" spans="1:2" x14ac:dyDescent="0.3">
      <c r="A1224" s="2" t="s">
        <v>158</v>
      </c>
      <c r="B1224" s="76">
        <v>204.24874532059059</v>
      </c>
    </row>
    <row r="1225" spans="1:2" x14ac:dyDescent="0.3">
      <c r="A1225" s="2" t="s">
        <v>158</v>
      </c>
      <c r="B1225" s="76">
        <v>29.124962499737148</v>
      </c>
    </row>
    <row r="1226" spans="1:2" x14ac:dyDescent="0.3">
      <c r="A1226" s="2" t="s">
        <v>158</v>
      </c>
      <c r="B1226" s="76">
        <v>115.5193183976905</v>
      </c>
    </row>
    <row r="1227" spans="1:2" x14ac:dyDescent="0.3">
      <c r="A1227" s="2" t="s">
        <v>158</v>
      </c>
      <c r="B1227" s="76">
        <v>131.61561213133069</v>
      </c>
    </row>
    <row r="1228" spans="1:2" x14ac:dyDescent="0.3">
      <c r="A1228" s="2" t="s">
        <v>158</v>
      </c>
      <c r="B1228" s="76">
        <v>126.0522032793059</v>
      </c>
    </row>
    <row r="1229" spans="1:2" x14ac:dyDescent="0.3">
      <c r="A1229" s="2" t="s">
        <v>158</v>
      </c>
      <c r="B1229" s="76">
        <v>153.19935258295473</v>
      </c>
    </row>
    <row r="1230" spans="1:2" x14ac:dyDescent="0.3">
      <c r="A1230" s="2" t="s">
        <v>158</v>
      </c>
      <c r="B1230" s="76">
        <v>521.08176874318247</v>
      </c>
    </row>
    <row r="1231" spans="1:2" x14ac:dyDescent="0.3">
      <c r="A1231" s="2" t="s">
        <v>158</v>
      </c>
      <c r="B1231" s="76">
        <v>113.68071413219943</v>
      </c>
    </row>
    <row r="1232" spans="1:2" x14ac:dyDescent="0.3">
      <c r="A1232" s="2" t="s">
        <v>158</v>
      </c>
      <c r="B1232" s="76">
        <v>421.46712682752604</v>
      </c>
    </row>
    <row r="1233" spans="1:2" x14ac:dyDescent="0.3">
      <c r="A1233" s="2" t="s">
        <v>158</v>
      </c>
      <c r="B1233" s="76">
        <v>202.63128668042239</v>
      </c>
    </row>
    <row r="1234" spans="1:2" x14ac:dyDescent="0.3">
      <c r="A1234" s="2" t="s">
        <v>158</v>
      </c>
      <c r="B1234" s="76">
        <v>302.16804164159043</v>
      </c>
    </row>
    <row r="1235" spans="1:2" x14ac:dyDescent="0.3">
      <c r="A1235" s="2" t="s">
        <v>158</v>
      </c>
      <c r="B1235" s="76">
        <v>837.12244607778234</v>
      </c>
    </row>
    <row r="1236" spans="1:2" x14ac:dyDescent="0.3">
      <c r="A1236" s="2" t="s">
        <v>158</v>
      </c>
      <c r="B1236" s="76">
        <v>77.408774117320149</v>
      </c>
    </row>
    <row r="1237" spans="1:2" x14ac:dyDescent="0.3">
      <c r="A1237" s="2" t="s">
        <v>158</v>
      </c>
      <c r="B1237" s="76">
        <v>85.575134069886104</v>
      </c>
    </row>
    <row r="1238" spans="1:2" x14ac:dyDescent="0.3">
      <c r="A1238" s="2" t="s">
        <v>158</v>
      </c>
      <c r="B1238" s="76">
        <v>46.583501783667181</v>
      </c>
    </row>
    <row r="1239" spans="1:2" x14ac:dyDescent="0.3">
      <c r="A1239" s="2" t="s">
        <v>158</v>
      </c>
      <c r="B1239" s="76">
        <v>92.114536664407069</v>
      </c>
    </row>
    <row r="1240" spans="1:2" x14ac:dyDescent="0.3">
      <c r="A1240" s="2" t="s">
        <v>158</v>
      </c>
      <c r="B1240" s="76">
        <v>1143.6353619833046</v>
      </c>
    </row>
    <row r="1241" spans="1:2" x14ac:dyDescent="0.3">
      <c r="A1241" s="2" t="s">
        <v>158</v>
      </c>
      <c r="B1241" s="76">
        <v>325.38555173088366</v>
      </c>
    </row>
    <row r="1242" spans="1:2" x14ac:dyDescent="0.3">
      <c r="A1242" s="2" t="s">
        <v>158</v>
      </c>
      <c r="B1242" s="76">
        <v>98.699322456924676</v>
      </c>
    </row>
    <row r="1243" spans="1:2" x14ac:dyDescent="0.3">
      <c r="A1243" s="2" t="s">
        <v>158</v>
      </c>
      <c r="B1243" s="76">
        <v>138.60004541137113</v>
      </c>
    </row>
    <row r="1244" spans="1:2" x14ac:dyDescent="0.3">
      <c r="A1244" s="2" t="s">
        <v>158</v>
      </c>
      <c r="B1244" s="76">
        <v>197.22933928072297</v>
      </c>
    </row>
    <row r="1245" spans="1:2" x14ac:dyDescent="0.3">
      <c r="A1245" s="2" t="s">
        <v>158</v>
      </c>
      <c r="B1245" s="76">
        <v>457.14712548225572</v>
      </c>
    </row>
    <row r="1246" spans="1:2" x14ac:dyDescent="0.3">
      <c r="A1246" s="2" t="s">
        <v>158</v>
      </c>
      <c r="B1246" s="76">
        <v>133.67038590779885</v>
      </c>
    </row>
    <row r="1247" spans="1:2" x14ac:dyDescent="0.3">
      <c r="A1247" s="2" t="s">
        <v>158</v>
      </c>
      <c r="B1247" s="76">
        <v>90.62974277157177</v>
      </c>
    </row>
    <row r="1248" spans="1:2" x14ac:dyDescent="0.3">
      <c r="A1248" s="2" t="s">
        <v>159</v>
      </c>
      <c r="B1248" s="76">
        <v>87.507219962090758</v>
      </c>
    </row>
    <row r="1249" spans="1:2" x14ac:dyDescent="0.3">
      <c r="A1249" s="2" t="s">
        <v>159</v>
      </c>
      <c r="B1249" s="76">
        <v>579.85128810732328</v>
      </c>
    </row>
    <row r="1250" spans="1:2" x14ac:dyDescent="0.3">
      <c r="A1250" s="2" t="s">
        <v>159</v>
      </c>
      <c r="B1250" s="76">
        <v>861.55058344708834</v>
      </c>
    </row>
    <row r="1251" spans="1:2" x14ac:dyDescent="0.3">
      <c r="A1251" s="2" t="s">
        <v>159</v>
      </c>
      <c r="B1251" s="76">
        <v>341.21254017164205</v>
      </c>
    </row>
    <row r="1252" spans="1:2" x14ac:dyDescent="0.3">
      <c r="A1252" s="2" t="s">
        <v>159</v>
      </c>
      <c r="B1252" s="76">
        <v>141.84793914579387</v>
      </c>
    </row>
    <row r="1253" spans="1:2" x14ac:dyDescent="0.3">
      <c r="A1253" s="2" t="s">
        <v>159</v>
      </c>
      <c r="B1253" s="76">
        <v>82.231519968953521</v>
      </c>
    </row>
    <row r="1254" spans="1:2" x14ac:dyDescent="0.3">
      <c r="A1254" s="2" t="s">
        <v>159</v>
      </c>
      <c r="B1254" s="76">
        <v>56.472083697609506</v>
      </c>
    </row>
    <row r="1255" spans="1:2" x14ac:dyDescent="0.3">
      <c r="A1255" s="2" t="s">
        <v>159</v>
      </c>
      <c r="B1255" s="76">
        <v>110.96837794706217</v>
      </c>
    </row>
    <row r="1256" spans="1:2" x14ac:dyDescent="0.3">
      <c r="A1256" s="2" t="s">
        <v>159</v>
      </c>
      <c r="B1256" s="76">
        <v>160.35807576360671</v>
      </c>
    </row>
    <row r="1257" spans="1:2" x14ac:dyDescent="0.3">
      <c r="A1257" s="2" t="s">
        <v>159</v>
      </c>
      <c r="B1257" s="76">
        <v>118.32075386964489</v>
      </c>
    </row>
    <row r="1258" spans="1:2" x14ac:dyDescent="0.3">
      <c r="A1258" s="2" t="s">
        <v>159</v>
      </c>
      <c r="B1258" s="76">
        <v>61.518580731528658</v>
      </c>
    </row>
    <row r="1259" spans="1:2" x14ac:dyDescent="0.3">
      <c r="A1259" s="2" t="s">
        <v>159</v>
      </c>
      <c r="B1259" s="76">
        <v>203.57429313665691</v>
      </c>
    </row>
    <row r="1260" spans="1:2" x14ac:dyDescent="0.3">
      <c r="A1260" s="2" t="s">
        <v>159</v>
      </c>
      <c r="B1260" s="76">
        <v>159.37402756056949</v>
      </c>
    </row>
    <row r="1261" spans="1:2" x14ac:dyDescent="0.3">
      <c r="A1261" s="2" t="s">
        <v>159</v>
      </c>
      <c r="B1261" s="76">
        <v>128.70085828195721</v>
      </c>
    </row>
    <row r="1262" spans="1:2" x14ac:dyDescent="0.3">
      <c r="A1262" s="2" t="s">
        <v>159</v>
      </c>
      <c r="B1262" s="76">
        <v>91.839835170302948</v>
      </c>
    </row>
    <row r="1263" spans="1:2" x14ac:dyDescent="0.3">
      <c r="A1263" s="2" t="s">
        <v>159</v>
      </c>
      <c r="B1263" s="76">
        <v>67.362150563262205</v>
      </c>
    </row>
    <row r="1264" spans="1:2" x14ac:dyDescent="0.3">
      <c r="A1264" s="2" t="s">
        <v>159</v>
      </c>
      <c r="B1264" s="76">
        <v>209.81468271339196</v>
      </c>
    </row>
    <row r="1265" spans="1:2" x14ac:dyDescent="0.3">
      <c r="A1265" s="2" t="s">
        <v>159</v>
      </c>
      <c r="B1265" s="76">
        <v>44.48935660933217</v>
      </c>
    </row>
    <row r="1266" spans="1:2" x14ac:dyDescent="0.3">
      <c r="A1266" s="2" t="s">
        <v>159</v>
      </c>
      <c r="B1266" s="76">
        <v>115.50652308880539</v>
      </c>
    </row>
    <row r="1267" spans="1:2" x14ac:dyDescent="0.3">
      <c r="A1267" s="2" t="s">
        <v>159</v>
      </c>
      <c r="B1267" s="76">
        <v>104.23310073500977</v>
      </c>
    </row>
    <row r="1268" spans="1:2" x14ac:dyDescent="0.3">
      <c r="A1268" s="2" t="s">
        <v>159</v>
      </c>
      <c r="B1268" s="76">
        <v>76.459436363136234</v>
      </c>
    </row>
    <row r="1269" spans="1:2" x14ac:dyDescent="0.3">
      <c r="A1269" s="2" t="s">
        <v>159</v>
      </c>
      <c r="B1269" s="76">
        <v>92.091749595943767</v>
      </c>
    </row>
    <row r="1270" spans="1:2" x14ac:dyDescent="0.3">
      <c r="A1270" s="2" t="s">
        <v>159</v>
      </c>
      <c r="B1270" s="76">
        <v>94.746973314952882</v>
      </c>
    </row>
    <row r="1271" spans="1:2" x14ac:dyDescent="0.3">
      <c r="A1271" s="2" t="s">
        <v>159</v>
      </c>
      <c r="B1271" s="76">
        <v>53.886758182957649</v>
      </c>
    </row>
    <row r="1272" spans="1:2" x14ac:dyDescent="0.3">
      <c r="A1272" s="2" t="s">
        <v>159</v>
      </c>
      <c r="B1272" s="76">
        <v>63.709651595653597</v>
      </c>
    </row>
    <row r="1273" spans="1:2" x14ac:dyDescent="0.3">
      <c r="A1273" s="2" t="s">
        <v>159</v>
      </c>
      <c r="B1273" s="76">
        <v>81.073607116089761</v>
      </c>
    </row>
    <row r="1274" spans="1:2" x14ac:dyDescent="0.3">
      <c r="A1274" s="2" t="s">
        <v>159</v>
      </c>
      <c r="B1274" s="76">
        <v>65.854559551240499</v>
      </c>
    </row>
    <row r="1275" spans="1:2" x14ac:dyDescent="0.3">
      <c r="A1275" s="2" t="s">
        <v>159</v>
      </c>
      <c r="B1275" s="76">
        <v>171.61586003723787</v>
      </c>
    </row>
    <row r="1276" spans="1:2" x14ac:dyDescent="0.3">
      <c r="A1276" s="2" t="s">
        <v>159</v>
      </c>
      <c r="B1276" s="76">
        <v>203.45455136172177</v>
      </c>
    </row>
    <row r="1277" spans="1:2" x14ac:dyDescent="0.3">
      <c r="A1277" s="2" t="s">
        <v>159</v>
      </c>
      <c r="B1277" s="76">
        <v>55.491410988053303</v>
      </c>
    </row>
    <row r="1278" spans="1:2" x14ac:dyDescent="0.3">
      <c r="A1278" s="2" t="s">
        <v>159</v>
      </c>
      <c r="B1278" s="76">
        <v>63.129583927042276</v>
      </c>
    </row>
    <row r="1279" spans="1:2" x14ac:dyDescent="0.3">
      <c r="A1279" s="2" t="s">
        <v>159</v>
      </c>
      <c r="B1279" s="76">
        <v>54.163778867979232</v>
      </c>
    </row>
    <row r="1280" spans="1:2" x14ac:dyDescent="0.3">
      <c r="A1280" s="2" t="s">
        <v>159</v>
      </c>
      <c r="B1280" s="76">
        <v>285.65886837975046</v>
      </c>
    </row>
    <row r="1281" spans="1:2" x14ac:dyDescent="0.3">
      <c r="A1281" s="2" t="s">
        <v>159</v>
      </c>
      <c r="B1281" s="76">
        <v>88.325014836220447</v>
      </c>
    </row>
    <row r="1282" spans="1:2" x14ac:dyDescent="0.3">
      <c r="A1282" s="2" t="s">
        <v>159</v>
      </c>
      <c r="B1282" s="76">
        <v>280.49740886227426</v>
      </c>
    </row>
    <row r="1283" spans="1:2" x14ac:dyDescent="0.3">
      <c r="A1283" s="2" t="s">
        <v>159</v>
      </c>
      <c r="B1283" s="76">
        <v>114.83186841183492</v>
      </c>
    </row>
    <row r="1284" spans="1:2" x14ac:dyDescent="0.3">
      <c r="A1284" s="2" t="s">
        <v>159</v>
      </c>
      <c r="B1284" s="76">
        <v>95.249635998215126</v>
      </c>
    </row>
    <row r="1285" spans="1:2" x14ac:dyDescent="0.3">
      <c r="A1285" s="2" t="s">
        <v>159</v>
      </c>
      <c r="B1285" s="76">
        <v>95.790438943571061</v>
      </c>
    </row>
    <row r="1286" spans="1:2" x14ac:dyDescent="0.3">
      <c r="A1286" s="2" t="s">
        <v>159</v>
      </c>
      <c r="B1286" s="76">
        <v>90.677969765650957</v>
      </c>
    </row>
    <row r="1287" spans="1:2" x14ac:dyDescent="0.3">
      <c r="A1287" s="2" t="s">
        <v>159</v>
      </c>
      <c r="B1287" s="76">
        <v>124.43735494093484</v>
      </c>
    </row>
    <row r="1288" spans="1:2" x14ac:dyDescent="0.3">
      <c r="A1288" s="2" t="s">
        <v>159</v>
      </c>
      <c r="B1288" s="76">
        <v>83.631770709542266</v>
      </c>
    </row>
    <row r="1289" spans="1:2" x14ac:dyDescent="0.3">
      <c r="A1289" s="2" t="s">
        <v>159</v>
      </c>
      <c r="B1289" s="76">
        <v>124.31352956330909</v>
      </c>
    </row>
    <row r="1290" spans="1:2" x14ac:dyDescent="0.3">
      <c r="A1290" s="2" t="s">
        <v>159</v>
      </c>
      <c r="B1290" s="76">
        <v>103.17418609997182</v>
      </c>
    </row>
    <row r="1291" spans="1:2" x14ac:dyDescent="0.3">
      <c r="A1291" s="2" t="s">
        <v>159</v>
      </c>
      <c r="B1291" s="76">
        <v>186.17304126747507</v>
      </c>
    </row>
    <row r="1292" spans="1:2" x14ac:dyDescent="0.3">
      <c r="A1292" s="2" t="s">
        <v>159</v>
      </c>
      <c r="B1292" s="76">
        <v>366.52302989704026</v>
      </c>
    </row>
    <row r="1293" spans="1:2" x14ac:dyDescent="0.3">
      <c r="A1293" s="2" t="s">
        <v>159</v>
      </c>
      <c r="B1293" s="76">
        <v>266.28801370515157</v>
      </c>
    </row>
    <row r="1294" spans="1:2" x14ac:dyDescent="0.3">
      <c r="A1294" s="2" t="s">
        <v>159</v>
      </c>
      <c r="B1294" s="76">
        <v>46.899601634965528</v>
      </c>
    </row>
    <row r="1295" spans="1:2" x14ac:dyDescent="0.3">
      <c r="A1295" s="2" t="s">
        <v>159</v>
      </c>
      <c r="B1295" s="76">
        <v>77.978185173516053</v>
      </c>
    </row>
    <row r="1296" spans="1:2" x14ac:dyDescent="0.3">
      <c r="A1296" s="2" t="s">
        <v>159</v>
      </c>
      <c r="B1296" s="76">
        <v>31.127140603422081</v>
      </c>
    </row>
    <row r="1297" spans="1:2" x14ac:dyDescent="0.3">
      <c r="A1297" s="2" t="s">
        <v>159</v>
      </c>
      <c r="B1297" s="76">
        <v>116.2039395827758</v>
      </c>
    </row>
    <row r="1298" spans="1:2" x14ac:dyDescent="0.3">
      <c r="A1298" s="2" t="s">
        <v>159</v>
      </c>
      <c r="B1298" s="76">
        <v>131.33631326442898</v>
      </c>
    </row>
    <row r="1299" spans="1:2" x14ac:dyDescent="0.3">
      <c r="A1299" s="2" t="s">
        <v>159</v>
      </c>
      <c r="B1299" s="76">
        <v>89.515279084309725</v>
      </c>
    </row>
    <row r="1300" spans="1:2" x14ac:dyDescent="0.3">
      <c r="A1300" s="2" t="s">
        <v>159</v>
      </c>
      <c r="B1300" s="76">
        <v>44.160502331098371</v>
      </c>
    </row>
    <row r="1301" spans="1:2" x14ac:dyDescent="0.3">
      <c r="A1301" s="2" t="s">
        <v>159</v>
      </c>
      <c r="B1301" s="76">
        <v>358.04026274085197</v>
      </c>
    </row>
    <row r="1302" spans="1:2" x14ac:dyDescent="0.3">
      <c r="A1302" s="2" t="s">
        <v>159</v>
      </c>
      <c r="B1302" s="76">
        <v>277.14464986903852</v>
      </c>
    </row>
    <row r="1303" spans="1:2" x14ac:dyDescent="0.3">
      <c r="A1303" s="2" t="s">
        <v>159</v>
      </c>
      <c r="B1303" s="76">
        <v>103.07093936171739</v>
      </c>
    </row>
    <row r="1304" spans="1:2" x14ac:dyDescent="0.3">
      <c r="A1304" s="2" t="s">
        <v>159</v>
      </c>
      <c r="B1304" s="76">
        <v>91.493208785298734</v>
      </c>
    </row>
    <row r="1305" spans="1:2" x14ac:dyDescent="0.3">
      <c r="A1305" s="2" t="s">
        <v>159</v>
      </c>
      <c r="B1305" s="76">
        <v>57.230413997377696</v>
      </c>
    </row>
    <row r="1306" spans="1:2" x14ac:dyDescent="0.3">
      <c r="A1306" s="2" t="s">
        <v>159</v>
      </c>
      <c r="B1306" s="76">
        <v>570.15763977128756</v>
      </c>
    </row>
    <row r="1307" spans="1:2" x14ac:dyDescent="0.3">
      <c r="A1307" s="2" t="s">
        <v>159</v>
      </c>
      <c r="B1307" s="76">
        <v>624.85481485633954</v>
      </c>
    </row>
    <row r="1308" spans="1:2" x14ac:dyDescent="0.3">
      <c r="A1308" s="2" t="s">
        <v>159</v>
      </c>
      <c r="B1308" s="76">
        <v>50.422268728165783</v>
      </c>
    </row>
    <row r="1309" spans="1:2" x14ac:dyDescent="0.3">
      <c r="A1309" s="2" t="s">
        <v>159</v>
      </c>
      <c r="B1309" s="76">
        <v>368.24356530795887</v>
      </c>
    </row>
    <row r="1310" spans="1:2" x14ac:dyDescent="0.3">
      <c r="A1310" s="2" t="s">
        <v>159</v>
      </c>
      <c r="B1310" s="76">
        <v>13.304474125928181</v>
      </c>
    </row>
    <row r="1311" spans="1:2" x14ac:dyDescent="0.3">
      <c r="A1311" s="2" t="s">
        <v>159</v>
      </c>
      <c r="B1311" s="76">
        <v>19.870849309509811</v>
      </c>
    </row>
    <row r="1312" spans="1:2" x14ac:dyDescent="0.3">
      <c r="A1312" s="2" t="s">
        <v>159</v>
      </c>
      <c r="B1312" s="76">
        <v>12.667938179325953</v>
      </c>
    </row>
    <row r="1313" spans="1:2" x14ac:dyDescent="0.3">
      <c r="A1313" s="2" t="s">
        <v>159</v>
      </c>
      <c r="B1313" s="76">
        <v>37.960623233819227</v>
      </c>
    </row>
    <row r="1314" spans="1:2" x14ac:dyDescent="0.3">
      <c r="A1314" s="2" t="s">
        <v>159</v>
      </c>
      <c r="B1314" s="76">
        <v>34.424385969569443</v>
      </c>
    </row>
    <row r="1315" spans="1:2" x14ac:dyDescent="0.3">
      <c r="A1315" s="2" t="s">
        <v>159</v>
      </c>
      <c r="B1315" s="76">
        <v>19.409620761511146</v>
      </c>
    </row>
    <row r="1316" spans="1:2" x14ac:dyDescent="0.3">
      <c r="A1316" s="2" t="s">
        <v>159</v>
      </c>
      <c r="B1316" s="76">
        <v>29.577924995251017</v>
      </c>
    </row>
    <row r="1317" spans="1:2" x14ac:dyDescent="0.3">
      <c r="A1317" s="2" t="s">
        <v>159</v>
      </c>
      <c r="B1317" s="76">
        <v>110.78576219853635</v>
      </c>
    </row>
    <row r="1318" spans="1:2" x14ac:dyDescent="0.3">
      <c r="A1318" s="2" t="s">
        <v>159</v>
      </c>
      <c r="B1318" s="76">
        <v>62.691822053851233</v>
      </c>
    </row>
    <row r="1319" spans="1:2" x14ac:dyDescent="0.3">
      <c r="A1319" s="2" t="s">
        <v>159</v>
      </c>
      <c r="B1319" s="76">
        <v>90.68828346411658</v>
      </c>
    </row>
    <row r="1320" spans="1:2" x14ac:dyDescent="0.3">
      <c r="A1320" s="2" t="s">
        <v>159</v>
      </c>
      <c r="B1320" s="76">
        <v>114.14624325506537</v>
      </c>
    </row>
    <row r="1321" spans="1:2" x14ac:dyDescent="0.3">
      <c r="A1321" s="2" t="s">
        <v>159</v>
      </c>
      <c r="B1321" s="76">
        <v>33.921106097264563</v>
      </c>
    </row>
    <row r="1322" spans="1:2" x14ac:dyDescent="0.3">
      <c r="A1322" s="2" t="s">
        <v>159</v>
      </c>
      <c r="B1322" s="76">
        <v>74.0080629255487</v>
      </c>
    </row>
    <row r="1323" spans="1:2" x14ac:dyDescent="0.3">
      <c r="A1323" s="2" t="s">
        <v>159</v>
      </c>
      <c r="B1323" s="76">
        <v>101.8636676751098</v>
      </c>
    </row>
    <row r="1324" spans="1:2" x14ac:dyDescent="0.3">
      <c r="A1324" s="2" t="s">
        <v>159</v>
      </c>
      <c r="B1324" s="76">
        <v>91.327831776146283</v>
      </c>
    </row>
    <row r="1325" spans="1:2" x14ac:dyDescent="0.3">
      <c r="A1325" s="2" t="s">
        <v>159</v>
      </c>
      <c r="B1325" s="76">
        <v>40.34280708800059</v>
      </c>
    </row>
    <row r="1326" spans="1:2" x14ac:dyDescent="0.3">
      <c r="A1326" s="2" t="s">
        <v>159</v>
      </c>
      <c r="B1326" s="76">
        <v>74.75950151094051</v>
      </c>
    </row>
    <row r="1327" spans="1:2" x14ac:dyDescent="0.3">
      <c r="A1327" s="2" t="s">
        <v>159</v>
      </c>
      <c r="B1327" s="76">
        <v>178.69805057469441</v>
      </c>
    </row>
    <row r="1328" spans="1:2" x14ac:dyDescent="0.3">
      <c r="A1328" s="2" t="s">
        <v>159</v>
      </c>
      <c r="B1328" s="76">
        <v>73.92578590684019</v>
      </c>
    </row>
    <row r="1329" spans="1:2" x14ac:dyDescent="0.3">
      <c r="A1329" s="2" t="s">
        <v>159</v>
      </c>
      <c r="B1329" s="76">
        <v>151.00130784005572</v>
      </c>
    </row>
    <row r="1330" spans="1:2" x14ac:dyDescent="0.3">
      <c r="A1330" s="2" t="s">
        <v>159</v>
      </c>
      <c r="B1330" s="76">
        <v>44.763789597288905</v>
      </c>
    </row>
    <row r="1331" spans="1:2" x14ac:dyDescent="0.3">
      <c r="A1331" s="2" t="s">
        <v>159</v>
      </c>
      <c r="B1331" s="76">
        <v>49.496057836155352</v>
      </c>
    </row>
    <row r="1332" spans="1:2" x14ac:dyDescent="0.3">
      <c r="A1332" s="2" t="s">
        <v>159</v>
      </c>
      <c r="B1332" s="76">
        <v>75.099406572605446</v>
      </c>
    </row>
    <row r="1333" spans="1:2" x14ac:dyDescent="0.3">
      <c r="A1333" s="2" t="s">
        <v>159</v>
      </c>
      <c r="B1333" s="76">
        <v>69.110064770624604</v>
      </c>
    </row>
    <row r="1334" spans="1:2" x14ac:dyDescent="0.3">
      <c r="A1334" s="2" t="s">
        <v>159</v>
      </c>
      <c r="B1334" s="76">
        <v>53.164716344182274</v>
      </c>
    </row>
    <row r="1335" spans="1:2" x14ac:dyDescent="0.3">
      <c r="A1335" s="2" t="s">
        <v>159</v>
      </c>
      <c r="B1335" s="76">
        <v>51.540180959640246</v>
      </c>
    </row>
    <row r="1336" spans="1:2" x14ac:dyDescent="0.3">
      <c r="A1336" s="2" t="s">
        <v>159</v>
      </c>
      <c r="B1336" s="76">
        <v>56.136427487314705</v>
      </c>
    </row>
    <row r="1337" spans="1:2" x14ac:dyDescent="0.3">
      <c r="A1337" s="2" t="s">
        <v>159</v>
      </c>
      <c r="B1337" s="76">
        <v>55.034210665303689</v>
      </c>
    </row>
    <row r="1338" spans="1:2" x14ac:dyDescent="0.3">
      <c r="A1338" s="2" t="s">
        <v>159</v>
      </c>
      <c r="B1338" s="76">
        <v>122.47605978522188</v>
      </c>
    </row>
    <row r="1339" spans="1:2" x14ac:dyDescent="0.3">
      <c r="A1339" s="2" t="s">
        <v>159</v>
      </c>
      <c r="B1339" s="76">
        <v>68.910093621170745</v>
      </c>
    </row>
    <row r="1340" spans="1:2" x14ac:dyDescent="0.3">
      <c r="A1340" s="2" t="s">
        <v>159</v>
      </c>
      <c r="B1340" s="76">
        <v>330.42201599446668</v>
      </c>
    </row>
    <row r="1341" spans="1:2" x14ac:dyDescent="0.3">
      <c r="A1341" s="2" t="s">
        <v>159</v>
      </c>
      <c r="B1341" s="76">
        <v>62.855699341717568</v>
      </c>
    </row>
    <row r="1342" spans="1:2" x14ac:dyDescent="0.3">
      <c r="A1342" s="2" t="s">
        <v>159</v>
      </c>
      <c r="B1342" s="76">
        <v>110.56717415446084</v>
      </c>
    </row>
    <row r="1343" spans="1:2" x14ac:dyDescent="0.3">
      <c r="A1343" s="2" t="s">
        <v>159</v>
      </c>
      <c r="B1343" s="76">
        <v>315.39895624992721</v>
      </c>
    </row>
    <row r="1344" spans="1:2" x14ac:dyDescent="0.3">
      <c r="A1344" s="2" t="s">
        <v>159</v>
      </c>
      <c r="B1344" s="76">
        <v>33.098073540042442</v>
      </c>
    </row>
    <row r="1345" spans="1:2" x14ac:dyDescent="0.3">
      <c r="A1345" s="2" t="s">
        <v>159</v>
      </c>
      <c r="B1345" s="76">
        <v>73.485751503146403</v>
      </c>
    </row>
    <row r="1346" spans="1:2" x14ac:dyDescent="0.3">
      <c r="A1346" s="2" t="s">
        <v>159</v>
      </c>
      <c r="B1346" s="76">
        <v>46.611329407870159</v>
      </c>
    </row>
    <row r="1347" spans="1:2" x14ac:dyDescent="0.3">
      <c r="A1347" s="2" t="s">
        <v>159</v>
      </c>
      <c r="B1347" s="76">
        <v>78.20390633865253</v>
      </c>
    </row>
    <row r="1348" spans="1:2" x14ac:dyDescent="0.3">
      <c r="A1348" s="2" t="s">
        <v>159</v>
      </c>
      <c r="B1348" s="76">
        <v>107.71453905887574</v>
      </c>
    </row>
    <row r="1349" spans="1:2" x14ac:dyDescent="0.3">
      <c r="A1349" s="2" t="s">
        <v>159</v>
      </c>
      <c r="B1349" s="76">
        <v>41.618413343797897</v>
      </c>
    </row>
    <row r="1350" spans="1:2" x14ac:dyDescent="0.3">
      <c r="A1350" s="2" t="s">
        <v>159</v>
      </c>
      <c r="B1350" s="76">
        <v>97.053024565573054</v>
      </c>
    </row>
    <row r="1351" spans="1:2" x14ac:dyDescent="0.3">
      <c r="A1351" s="2" t="s">
        <v>159</v>
      </c>
      <c r="B1351" s="76">
        <v>51.164125329074061</v>
      </c>
    </row>
    <row r="1352" spans="1:2" x14ac:dyDescent="0.3">
      <c r="A1352" s="2" t="s">
        <v>159</v>
      </c>
      <c r="B1352" s="76">
        <v>264.42669039913932</v>
      </c>
    </row>
    <row r="1353" spans="1:2" x14ac:dyDescent="0.3">
      <c r="A1353" s="2" t="s">
        <v>159</v>
      </c>
      <c r="B1353" s="76">
        <v>96.687492077359821</v>
      </c>
    </row>
    <row r="1354" spans="1:2" x14ac:dyDescent="0.3">
      <c r="A1354" s="2" t="s">
        <v>159</v>
      </c>
      <c r="B1354" s="76">
        <v>99.915274994187001</v>
      </c>
    </row>
    <row r="1355" spans="1:2" x14ac:dyDescent="0.3">
      <c r="A1355" s="2" t="s">
        <v>159</v>
      </c>
      <c r="B1355" s="76">
        <v>92.33571118051573</v>
      </c>
    </row>
    <row r="1356" spans="1:2" x14ac:dyDescent="0.3">
      <c r="A1356" s="2" t="s">
        <v>159</v>
      </c>
      <c r="B1356" s="76">
        <v>49.590999913035589</v>
      </c>
    </row>
    <row r="1357" spans="1:2" x14ac:dyDescent="0.3">
      <c r="A1357" s="2" t="s">
        <v>159</v>
      </c>
      <c r="B1357" s="76">
        <v>273.04816205079283</v>
      </c>
    </row>
    <row r="1358" spans="1:2" x14ac:dyDescent="0.3">
      <c r="A1358" s="2" t="s">
        <v>159</v>
      </c>
      <c r="B1358" s="76">
        <v>561.8682444819467</v>
      </c>
    </row>
    <row r="1359" spans="1:2" x14ac:dyDescent="0.3">
      <c r="A1359" s="2" t="s">
        <v>159</v>
      </c>
      <c r="B1359" s="76">
        <v>69.084035106412657</v>
      </c>
    </row>
    <row r="1360" spans="1:2" x14ac:dyDescent="0.3">
      <c r="A1360" s="2" t="s">
        <v>159</v>
      </c>
      <c r="B1360" s="76">
        <v>144.94334119994252</v>
      </c>
    </row>
    <row r="1361" spans="1:2" x14ac:dyDescent="0.3">
      <c r="A1361" s="2" t="s">
        <v>159</v>
      </c>
      <c r="B1361" s="76">
        <v>68.771291653211193</v>
      </c>
    </row>
    <row r="1362" spans="1:2" x14ac:dyDescent="0.3">
      <c r="A1362" s="2" t="s">
        <v>159</v>
      </c>
      <c r="B1362" s="76">
        <v>85.112630744970375</v>
      </c>
    </row>
    <row r="1363" spans="1:2" x14ac:dyDescent="0.3">
      <c r="A1363" s="2" t="s">
        <v>159</v>
      </c>
      <c r="B1363" s="76">
        <v>162.49734376781083</v>
      </c>
    </row>
    <row r="1364" spans="1:2" x14ac:dyDescent="0.3">
      <c r="A1364" s="2" t="s">
        <v>159</v>
      </c>
      <c r="B1364" s="76">
        <v>733.59362743466488</v>
      </c>
    </row>
    <row r="1365" spans="1:2" x14ac:dyDescent="0.3">
      <c r="A1365" s="2" t="s">
        <v>159</v>
      </c>
      <c r="B1365" s="76">
        <v>471.24352896407055</v>
      </c>
    </row>
    <row r="1366" spans="1:2" x14ac:dyDescent="0.3">
      <c r="A1366" s="2" t="s">
        <v>159</v>
      </c>
      <c r="B1366" s="76">
        <v>74.661647430156137</v>
      </c>
    </row>
    <row r="1367" spans="1:2" x14ac:dyDescent="0.3">
      <c r="A1367" s="2" t="s">
        <v>159</v>
      </c>
      <c r="B1367" s="76">
        <v>339.39760515110208</v>
      </c>
    </row>
    <row r="1368" spans="1:2" x14ac:dyDescent="0.3">
      <c r="A1368" s="2" t="s">
        <v>159</v>
      </c>
      <c r="B1368" s="76">
        <v>90.470979779618958</v>
      </c>
    </row>
    <row r="1369" spans="1:2" x14ac:dyDescent="0.3">
      <c r="A1369" s="2" t="s">
        <v>159</v>
      </c>
      <c r="B1369" s="76">
        <v>58.650623882365572</v>
      </c>
    </row>
    <row r="1370" spans="1:2" x14ac:dyDescent="0.3">
      <c r="A1370" s="2" t="s">
        <v>159</v>
      </c>
      <c r="B1370" s="76">
        <v>81.416489268982119</v>
      </c>
    </row>
    <row r="1371" spans="1:2" x14ac:dyDescent="0.3">
      <c r="A1371" s="2" t="s">
        <v>159</v>
      </c>
      <c r="B1371" s="76">
        <v>50.385968663590184</v>
      </c>
    </row>
    <row r="1372" spans="1:2" x14ac:dyDescent="0.3">
      <c r="A1372" s="2" t="s">
        <v>159</v>
      </c>
      <c r="B1372" s="76">
        <v>188.33710380350232</v>
      </c>
    </row>
    <row r="1373" spans="1:2" x14ac:dyDescent="0.3">
      <c r="A1373" s="2" t="s">
        <v>159</v>
      </c>
      <c r="B1373" s="76">
        <v>391.76452658691107</v>
      </c>
    </row>
    <row r="1374" spans="1:2" x14ac:dyDescent="0.3">
      <c r="A1374" s="2" t="s">
        <v>159</v>
      </c>
      <c r="B1374" s="76">
        <v>644.59924393682184</v>
      </c>
    </row>
    <row r="1375" spans="1:2" x14ac:dyDescent="0.3">
      <c r="A1375" s="2" t="s">
        <v>159</v>
      </c>
      <c r="B1375" s="76">
        <v>73.585987010627235</v>
      </c>
    </row>
    <row r="1376" spans="1:2" x14ac:dyDescent="0.3">
      <c r="A1376" s="2" t="s">
        <v>159</v>
      </c>
      <c r="B1376" s="76">
        <v>642.84923476199901</v>
      </c>
    </row>
    <row r="1377" spans="1:2" x14ac:dyDescent="0.3">
      <c r="A1377" s="2" t="s">
        <v>159</v>
      </c>
      <c r="B1377" s="76">
        <v>1122.5093143692143</v>
      </c>
    </row>
    <row r="1378" spans="1:2" x14ac:dyDescent="0.3">
      <c r="A1378" s="2" t="s">
        <v>159</v>
      </c>
      <c r="B1378" s="76">
        <v>791.79786903099875</v>
      </c>
    </row>
    <row r="1379" spans="1:2" x14ac:dyDescent="0.3">
      <c r="A1379" s="2" t="s">
        <v>159</v>
      </c>
      <c r="B1379" s="76">
        <v>356.37604784308274</v>
      </c>
    </row>
    <row r="1380" spans="1:2" x14ac:dyDescent="0.3">
      <c r="A1380" s="2" t="s">
        <v>159</v>
      </c>
      <c r="B1380" s="76">
        <v>126.56155076276887</v>
      </c>
    </row>
    <row r="1381" spans="1:2" x14ac:dyDescent="0.3">
      <c r="A1381" s="2" t="s">
        <v>159</v>
      </c>
      <c r="B1381" s="76">
        <v>537.94594895406692</v>
      </c>
    </row>
    <row r="1382" spans="1:2" x14ac:dyDescent="0.3">
      <c r="A1382" s="2" t="s">
        <v>159</v>
      </c>
      <c r="B1382" s="76">
        <v>254.83427594105876</v>
      </c>
    </row>
    <row r="1383" spans="1:2" x14ac:dyDescent="0.3">
      <c r="A1383" s="2" t="s">
        <v>159</v>
      </c>
      <c r="B1383" s="76">
        <v>94.937061332243715</v>
      </c>
    </row>
    <row r="1384" spans="1:2" x14ac:dyDescent="0.3">
      <c r="A1384" s="2" t="s">
        <v>159</v>
      </c>
      <c r="B1384" s="76">
        <v>183.32636299059052</v>
      </c>
    </row>
    <row r="1385" spans="1:2" x14ac:dyDescent="0.3">
      <c r="A1385" s="2" t="s">
        <v>159</v>
      </c>
      <c r="B1385" s="76">
        <v>548.46713308919868</v>
      </c>
    </row>
    <row r="1386" spans="1:2" x14ac:dyDescent="0.3">
      <c r="A1386" s="2" t="s">
        <v>159</v>
      </c>
      <c r="B1386" s="76">
        <v>93.105037121132554</v>
      </c>
    </row>
    <row r="1387" spans="1:2" x14ac:dyDescent="0.3">
      <c r="A1387" s="2" t="s">
        <v>159</v>
      </c>
      <c r="B1387" s="76">
        <v>109.76874844245815</v>
      </c>
    </row>
    <row r="1388" spans="1:2" x14ac:dyDescent="0.3">
      <c r="A1388" s="2" t="s">
        <v>159</v>
      </c>
      <c r="B1388" s="76">
        <v>310.85345891272357</v>
      </c>
    </row>
    <row r="1389" spans="1:2" x14ac:dyDescent="0.3">
      <c r="A1389" s="2" t="s">
        <v>159</v>
      </c>
      <c r="B1389" s="76">
        <v>93.899114663633753</v>
      </c>
    </row>
    <row r="1390" spans="1:2" x14ac:dyDescent="0.3">
      <c r="A1390" s="2" t="s">
        <v>159</v>
      </c>
      <c r="B1390" s="76">
        <v>961.5155471711131</v>
      </c>
    </row>
    <row r="1391" spans="1:2" x14ac:dyDescent="0.3">
      <c r="A1391" s="2" t="s">
        <v>159</v>
      </c>
      <c r="B1391" s="76">
        <v>377.70120030949914</v>
      </c>
    </row>
    <row r="1392" spans="1:2" x14ac:dyDescent="0.3">
      <c r="A1392" s="2" t="s">
        <v>159</v>
      </c>
      <c r="B1392" s="76">
        <v>964.98748938758945</v>
      </c>
    </row>
    <row r="1393" spans="1:2" x14ac:dyDescent="0.3">
      <c r="A1393" s="2" t="s">
        <v>159</v>
      </c>
      <c r="B1393" s="76">
        <v>510.75572469207685</v>
      </c>
    </row>
    <row r="1394" spans="1:2" x14ac:dyDescent="0.3">
      <c r="A1394" s="2" t="s">
        <v>159</v>
      </c>
      <c r="B1394" s="76">
        <v>193.35417813045208</v>
      </c>
    </row>
    <row r="1395" spans="1:2" x14ac:dyDescent="0.3">
      <c r="A1395" s="2" t="s">
        <v>159</v>
      </c>
      <c r="B1395" s="76">
        <v>876.25710753253338</v>
      </c>
    </row>
    <row r="1396" spans="1:2" x14ac:dyDescent="0.3">
      <c r="A1396" s="2" t="s">
        <v>159</v>
      </c>
      <c r="B1396" s="76">
        <v>86.36338055908017</v>
      </c>
    </row>
    <row r="1397" spans="1:2" x14ac:dyDescent="0.3">
      <c r="A1397" s="2" t="s">
        <v>159</v>
      </c>
      <c r="B1397" s="76">
        <v>57.983402406397218</v>
      </c>
    </row>
    <row r="1398" spans="1:2" x14ac:dyDescent="0.3">
      <c r="A1398" s="2" t="s">
        <v>159</v>
      </c>
      <c r="B1398" s="76">
        <v>86.299700843789253</v>
      </c>
    </row>
    <row r="1399" spans="1:2" x14ac:dyDescent="0.3">
      <c r="A1399" s="2" t="s">
        <v>159</v>
      </c>
      <c r="B1399" s="76">
        <v>290.36835324500231</v>
      </c>
    </row>
    <row r="1400" spans="1:2" x14ac:dyDescent="0.3">
      <c r="A1400" s="2" t="s">
        <v>159</v>
      </c>
      <c r="B1400" s="76">
        <v>23.681908605441372</v>
      </c>
    </row>
    <row r="1401" spans="1:2" x14ac:dyDescent="0.3">
      <c r="A1401" s="2" t="s">
        <v>159</v>
      </c>
      <c r="B1401" s="76">
        <v>87.177966375602537</v>
      </c>
    </row>
    <row r="1402" spans="1:2" x14ac:dyDescent="0.3">
      <c r="A1402" s="2" t="s">
        <v>159</v>
      </c>
      <c r="B1402" s="76">
        <v>211.92744102168967</v>
      </c>
    </row>
    <row r="1403" spans="1:2" x14ac:dyDescent="0.3">
      <c r="A1403" s="2" t="s">
        <v>159</v>
      </c>
      <c r="B1403" s="76">
        <v>41.100201918369862</v>
      </c>
    </row>
    <row r="1404" spans="1:2" x14ac:dyDescent="0.3">
      <c r="A1404" s="2" t="s">
        <v>159</v>
      </c>
      <c r="B1404" s="76">
        <v>155.38254365784886</v>
      </c>
    </row>
    <row r="1405" spans="1:2" x14ac:dyDescent="0.3">
      <c r="A1405" s="2" t="s">
        <v>159</v>
      </c>
      <c r="B1405" s="76">
        <v>192.98891385530942</v>
      </c>
    </row>
    <row r="1406" spans="1:2" x14ac:dyDescent="0.3">
      <c r="A1406" s="2" t="s">
        <v>159</v>
      </c>
      <c r="B1406" s="76">
        <v>207.84129857099856</v>
      </c>
    </row>
    <row r="1407" spans="1:2" x14ac:dyDescent="0.3">
      <c r="A1407" s="2" t="s">
        <v>159</v>
      </c>
      <c r="B1407" s="76">
        <v>227.04938177052773</v>
      </c>
    </row>
    <row r="1408" spans="1:2" x14ac:dyDescent="0.3">
      <c r="A1408" s="2" t="s">
        <v>159</v>
      </c>
      <c r="B1408" s="76">
        <v>714.60756926936097</v>
      </c>
    </row>
    <row r="1409" spans="1:2" x14ac:dyDescent="0.3">
      <c r="A1409" s="2" t="s">
        <v>159</v>
      </c>
      <c r="B1409" s="76">
        <v>221.65687937476713</v>
      </c>
    </row>
    <row r="1410" spans="1:2" x14ac:dyDescent="0.3">
      <c r="A1410" s="2" t="s">
        <v>159</v>
      </c>
      <c r="B1410" s="76">
        <v>578.31873944139909</v>
      </c>
    </row>
    <row r="1411" spans="1:2" x14ac:dyDescent="0.3">
      <c r="A1411" s="2" t="s">
        <v>159</v>
      </c>
      <c r="B1411" s="76">
        <v>233.29363976011305</v>
      </c>
    </row>
    <row r="1412" spans="1:2" x14ac:dyDescent="0.3">
      <c r="A1412" s="2" t="s">
        <v>159</v>
      </c>
      <c r="B1412" s="76">
        <v>307.56684459306632</v>
      </c>
    </row>
    <row r="1413" spans="1:2" x14ac:dyDescent="0.3">
      <c r="A1413" s="2" t="s">
        <v>159</v>
      </c>
      <c r="B1413" s="76">
        <v>972.39111203948562</v>
      </c>
    </row>
    <row r="1414" spans="1:2" x14ac:dyDescent="0.3">
      <c r="A1414" s="2" t="s">
        <v>159</v>
      </c>
      <c r="B1414" s="76">
        <v>94.136458381900852</v>
      </c>
    </row>
    <row r="1415" spans="1:2" x14ac:dyDescent="0.3">
      <c r="A1415" s="2" t="s">
        <v>159</v>
      </c>
      <c r="B1415" s="76">
        <v>95.406758699280559</v>
      </c>
    </row>
    <row r="1416" spans="1:2" x14ac:dyDescent="0.3">
      <c r="A1416" s="2" t="s">
        <v>159</v>
      </c>
      <c r="B1416" s="76">
        <v>54.01868750552859</v>
      </c>
    </row>
    <row r="1417" spans="1:2" x14ac:dyDescent="0.3">
      <c r="A1417" s="2" t="s">
        <v>159</v>
      </c>
      <c r="B1417" s="76">
        <v>98.792906832332378</v>
      </c>
    </row>
    <row r="1418" spans="1:2" x14ac:dyDescent="0.3">
      <c r="A1418" s="2" t="s">
        <v>159</v>
      </c>
      <c r="B1418" s="76">
        <v>1110.7952909480296</v>
      </c>
    </row>
    <row r="1419" spans="1:2" x14ac:dyDescent="0.3">
      <c r="A1419" s="2" t="s">
        <v>159</v>
      </c>
      <c r="B1419" s="76">
        <v>396.61002019734815</v>
      </c>
    </row>
    <row r="1420" spans="1:2" x14ac:dyDescent="0.3">
      <c r="A1420" s="2" t="s">
        <v>159</v>
      </c>
      <c r="B1420" s="76">
        <v>122.16093411704669</v>
      </c>
    </row>
    <row r="1421" spans="1:2" x14ac:dyDescent="0.3">
      <c r="A1421" s="2" t="s">
        <v>159</v>
      </c>
      <c r="B1421" s="76">
        <v>203.67383890198499</v>
      </c>
    </row>
    <row r="1422" spans="1:2" x14ac:dyDescent="0.3">
      <c r="A1422" s="2" t="s">
        <v>159</v>
      </c>
      <c r="B1422" s="76">
        <v>245.84954835968313</v>
      </c>
    </row>
    <row r="1423" spans="1:2" x14ac:dyDescent="0.3">
      <c r="A1423" s="2" t="s">
        <v>159</v>
      </c>
      <c r="B1423" s="76">
        <v>609.82354056752195</v>
      </c>
    </row>
    <row r="1424" spans="1:2" x14ac:dyDescent="0.3">
      <c r="A1424" s="2" t="s">
        <v>159</v>
      </c>
      <c r="B1424" s="76">
        <v>166.33787233482079</v>
      </c>
    </row>
    <row r="1425" spans="1:2" x14ac:dyDescent="0.3">
      <c r="A1425" s="2" t="s">
        <v>159</v>
      </c>
      <c r="B1425" s="76">
        <v>112.65513744810222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6EA1-AC0D-405D-BA57-4B3C4C6B3243}">
  <dimension ref="A1:W179"/>
  <sheetViews>
    <sheetView zoomScale="60" zoomScaleNormal="60" workbookViewId="0">
      <selection activeCell="Y25" sqref="Y25"/>
    </sheetView>
  </sheetViews>
  <sheetFormatPr defaultRowHeight="14.4" x14ac:dyDescent="0.3"/>
  <cols>
    <col min="1" max="1" width="42.44140625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5" bestFit="1" customWidth="1"/>
    <col min="9" max="9" width="6.44140625" customWidth="1"/>
    <col min="10" max="10" width="20" bestFit="1" customWidth="1"/>
    <col min="11" max="13" width="10.44140625" style="28" bestFit="1" customWidth="1"/>
    <col min="14" max="14" width="9.6640625" style="28" bestFit="1" customWidth="1"/>
    <col min="15" max="18" width="10.44140625" style="62" bestFit="1" customWidth="1"/>
    <col min="19" max="19" width="10.109375" style="62" bestFit="1" customWidth="1"/>
    <col min="20" max="20" width="9.109375" style="28" bestFit="1" customWidth="1"/>
    <col min="21" max="21" width="13.88671875" style="28" customWidth="1"/>
    <col min="22" max="22" width="9.109375" style="62" bestFit="1" customWidth="1"/>
    <col min="23" max="23" width="20.109375" style="62" bestFit="1" customWidth="1"/>
  </cols>
  <sheetData>
    <row r="1" spans="1:23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160</v>
      </c>
      <c r="G1" s="58" t="s">
        <v>92</v>
      </c>
      <c r="H1" s="58" t="s">
        <v>7</v>
      </c>
      <c r="I1" s="58" t="s">
        <v>8</v>
      </c>
      <c r="J1" s="58" t="s">
        <v>9</v>
      </c>
      <c r="K1" s="60" t="s">
        <v>161</v>
      </c>
      <c r="L1" s="60" t="s">
        <v>162</v>
      </c>
      <c r="M1" s="60" t="s">
        <v>163</v>
      </c>
      <c r="N1" s="60" t="s">
        <v>164</v>
      </c>
      <c r="O1" s="61" t="s">
        <v>165</v>
      </c>
      <c r="P1" s="61" t="s">
        <v>166</v>
      </c>
      <c r="Q1" s="61" t="s">
        <v>167</v>
      </c>
      <c r="R1" s="61" t="s">
        <v>168</v>
      </c>
      <c r="S1" s="61" t="s">
        <v>169</v>
      </c>
      <c r="T1" s="60" t="s">
        <v>170</v>
      </c>
      <c r="U1" s="60" t="s">
        <v>171</v>
      </c>
      <c r="V1" s="61" t="s">
        <v>170</v>
      </c>
      <c r="W1" s="61" t="s">
        <v>171</v>
      </c>
    </row>
    <row r="2" spans="1:23" x14ac:dyDescent="0.3">
      <c r="A2" s="59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53">
        <v>0.55428571428571427</v>
      </c>
      <c r="K2" s="70">
        <f>(0.02453 *(H2^2.443356)*(I2^0.423602))</f>
        <v>44.689068723234925</v>
      </c>
      <c r="L2" s="70">
        <f>0.024393*((H2^2)*I2)</f>
        <v>68.766111156000008</v>
      </c>
      <c r="M2" s="70">
        <f>(0.01579*(H2^2.356307)*(I2^0.623614))</f>
        <v>39.807675822013842</v>
      </c>
      <c r="N2" s="68">
        <f t="shared" ref="N2:N65" si="0">10^(-0.717903255+0.940214879*LOG10(H2)+1.345432588*LOG10(I2)*1.109844005)</f>
        <v>134.14023866060629</v>
      </c>
      <c r="O2" s="69">
        <f t="shared" ref="O2:O66" si="1">((0.0559)*((J2*H2^2*I2)))</f>
        <v>87.348357437714284</v>
      </c>
      <c r="P2" s="69">
        <f>((0.0673)*((J2*H2^2*I2)^0.976))</f>
        <v>88.146641243302142</v>
      </c>
      <c r="Q2" s="69">
        <f>EXP((-1.305)+(1.055*LN((H2^2))+(0.34*LN(I2))+(1.077*LN(J2))))</f>
        <v>87.507219962090758</v>
      </c>
      <c r="R2" s="69">
        <f>EXP(-0.97+(1.1421*LN(H2^2*J2)))</f>
        <v>72.54130685663398</v>
      </c>
      <c r="S2" s="69">
        <f>EXP(-1.027+(1.144 *LN(H2^2))+(1.085*LN(J2)))</f>
        <v>71.572534176527085</v>
      </c>
      <c r="T2" s="68">
        <f t="shared" ref="T2:T33" si="2">AVERAGE(K2:N2)</f>
        <v>71.850773590463774</v>
      </c>
      <c r="U2" s="68">
        <f t="shared" ref="U2:U33" si="3">_xlfn.STDEV.P(K2:N2)</f>
        <v>37.596578723841262</v>
      </c>
      <c r="V2" s="69">
        <f t="shared" ref="V2:V33" si="4">AVERAGE(O2:S2)</f>
        <v>81.423211935253647</v>
      </c>
      <c r="W2" s="69">
        <f t="shared" ref="W2:W33" si="5">_xlfn.STDEV.P(O2:S2)</f>
        <v>7.6583430934916121</v>
      </c>
    </row>
    <row r="3" spans="1:23" x14ac:dyDescent="0.3">
      <c r="A3" s="59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53">
        <v>0.56082474226804124</v>
      </c>
      <c r="K3" s="70">
        <f t="shared" ref="K3:K66" si="6">(0.02453 *(H3^2.443356)*(I3^0.423602))</f>
        <v>397.68946981350473</v>
      </c>
      <c r="L3" s="70">
        <f t="shared" ref="L3:L66" si="7">0.024393*((H3^2)*I3)</f>
        <v>520.65394920000006</v>
      </c>
      <c r="M3" s="70">
        <f t="shared" ref="M3:M66" si="8">(0.01579*(H3^2.356307)*(I3^0.623614))</f>
        <v>354.08257262084987</v>
      </c>
      <c r="N3" s="68">
        <f t="shared" si="0"/>
        <v>502.0658142902243</v>
      </c>
      <c r="O3" s="69">
        <f t="shared" si="1"/>
        <v>669.1491404536082</v>
      </c>
      <c r="P3" s="69">
        <f t="shared" ref="P3:P66" si="9">((0.0673)*((J3*H3^2*I3)^0.976))</f>
        <v>643.06002634382173</v>
      </c>
      <c r="Q3" s="69">
        <f t="shared" ref="Q3:Q66" si="10">EXP((-1.305)+(1.055*LN((H3^2))+(0.34*LN(I3))+(1.077*LN(J3))))</f>
        <v>579.85128810732272</v>
      </c>
      <c r="R3" s="69">
        <f t="shared" ref="R3:R66" si="11">EXP(-0.97+(1.1421*LN(H3^2*J3)))</f>
        <v>492.05925509643004</v>
      </c>
      <c r="S3" s="69">
        <f t="shared" ref="S3:S66" si="12">EXP(-1.027+(1.144 *LN(H3^2))+(1.085*LN(J3)))</f>
        <v>486.69970267396133</v>
      </c>
      <c r="T3" s="68">
        <f t="shared" si="2"/>
        <v>443.62295148114475</v>
      </c>
      <c r="U3" s="68">
        <f t="shared" si="3"/>
        <v>69.779486612183689</v>
      </c>
      <c r="V3" s="69">
        <f t="shared" si="4"/>
        <v>574.16388253502885</v>
      </c>
      <c r="W3" s="69">
        <f t="shared" si="5"/>
        <v>75.089782316004602</v>
      </c>
    </row>
    <row r="4" spans="1:23" x14ac:dyDescent="0.3">
      <c r="A4" s="59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65">
        <v>0.55384615384615388</v>
      </c>
      <c r="K4" s="70">
        <f t="shared" si="6"/>
        <v>634.58547533065916</v>
      </c>
      <c r="L4" s="70">
        <f t="shared" si="7"/>
        <v>657.32734276799999</v>
      </c>
      <c r="M4" s="70">
        <f t="shared" si="8"/>
        <v>528.99813011657557</v>
      </c>
      <c r="N4" s="68">
        <f t="shared" si="0"/>
        <v>443.32838858536547</v>
      </c>
      <c r="O4" s="69">
        <f t="shared" si="1"/>
        <v>834.29076095999994</v>
      </c>
      <c r="P4" s="69">
        <f t="shared" si="9"/>
        <v>797.5298658840743</v>
      </c>
      <c r="Q4" s="69">
        <f t="shared" si="10"/>
        <v>861.55058344708834</v>
      </c>
      <c r="R4" s="69">
        <f t="shared" si="11"/>
        <v>821.99376183050401</v>
      </c>
      <c r="S4" s="69">
        <f t="shared" si="12"/>
        <v>814.33626663744133</v>
      </c>
      <c r="T4" s="68">
        <f t="shared" si="2"/>
        <v>566.05983420015002</v>
      </c>
      <c r="U4" s="68">
        <f t="shared" si="3"/>
        <v>85.822635803154142</v>
      </c>
      <c r="V4" s="69">
        <f t="shared" si="4"/>
        <v>825.94024775182152</v>
      </c>
      <c r="W4" s="69">
        <f t="shared" si="5"/>
        <v>21.425237482328296</v>
      </c>
    </row>
    <row r="5" spans="1:23" x14ac:dyDescent="0.3">
      <c r="A5" s="59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66">
        <v>0.49723756906077349</v>
      </c>
      <c r="K5" s="70">
        <f t="shared" si="6"/>
        <v>248.0635562800835</v>
      </c>
      <c r="L5" s="70">
        <f t="shared" si="7"/>
        <v>296.86359057600004</v>
      </c>
      <c r="M5" s="70">
        <f t="shared" si="8"/>
        <v>211.99886776052907</v>
      </c>
      <c r="N5" s="68">
        <f t="shared" si="0"/>
        <v>292.89220174543226</v>
      </c>
      <c r="O5" s="69">
        <f t="shared" si="1"/>
        <v>338.27309940331492</v>
      </c>
      <c r="P5" s="69">
        <f t="shared" si="9"/>
        <v>330.45032493303836</v>
      </c>
      <c r="Q5" s="69">
        <f t="shared" si="10"/>
        <v>341.21254017164205</v>
      </c>
      <c r="R5" s="69">
        <f t="shared" si="11"/>
        <v>306.82776502549547</v>
      </c>
      <c r="S5" s="69">
        <f t="shared" si="12"/>
        <v>305.40814889001723</v>
      </c>
      <c r="T5" s="68">
        <f t="shared" si="2"/>
        <v>262.45455409051118</v>
      </c>
      <c r="U5" s="68">
        <f t="shared" si="3"/>
        <v>34.868715518478069</v>
      </c>
      <c r="V5" s="69">
        <f t="shared" si="4"/>
        <v>324.43437568470159</v>
      </c>
      <c r="W5" s="69">
        <f t="shared" si="5"/>
        <v>15.370092830019864</v>
      </c>
    </row>
    <row r="6" spans="1:23" x14ac:dyDescent="0.3">
      <c r="A6" s="59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65">
        <v>0.49627791563275436</v>
      </c>
      <c r="K6" s="70">
        <f t="shared" si="6"/>
        <v>88.514081045936805</v>
      </c>
      <c r="L6" s="70">
        <f t="shared" si="7"/>
        <v>89.023131648000003</v>
      </c>
      <c r="M6" s="70">
        <f t="shared" si="8"/>
        <v>69.682840328945971</v>
      </c>
      <c r="N6" s="68">
        <f t="shared" si="0"/>
        <v>94.488364183450912</v>
      </c>
      <c r="O6" s="69">
        <f t="shared" si="1"/>
        <v>101.24519225806451</v>
      </c>
      <c r="P6" s="69">
        <f t="shared" si="9"/>
        <v>101.80909180625423</v>
      </c>
      <c r="Q6" s="69">
        <f t="shared" si="10"/>
        <v>141.84793914579387</v>
      </c>
      <c r="R6" s="69">
        <f t="shared" si="11"/>
        <v>145.39132150816238</v>
      </c>
      <c r="S6" s="69">
        <f t="shared" si="12"/>
        <v>144.5554095899877</v>
      </c>
      <c r="T6" s="68">
        <f t="shared" si="2"/>
        <v>85.427104301583427</v>
      </c>
      <c r="U6" s="68">
        <f t="shared" si="3"/>
        <v>9.3868141132013463</v>
      </c>
      <c r="V6" s="69">
        <f t="shared" si="4"/>
        <v>126.96979086165254</v>
      </c>
      <c r="W6" s="69">
        <f t="shared" si="5"/>
        <v>20.807603533591298</v>
      </c>
    </row>
    <row r="7" spans="1:23" x14ac:dyDescent="0.3">
      <c r="A7" s="59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53">
        <v>0.50819672131147542</v>
      </c>
      <c r="K7" s="70">
        <f t="shared" si="6"/>
        <v>45.910129091726603</v>
      </c>
      <c r="L7" s="70">
        <f t="shared" si="7"/>
        <v>57.36343255500001</v>
      </c>
      <c r="M7" s="70">
        <f t="shared" si="8"/>
        <v>38.209780729397444</v>
      </c>
      <c r="N7" s="68">
        <f t="shared" si="0"/>
        <v>89.581105255366126</v>
      </c>
      <c r="O7" s="69">
        <f t="shared" si="1"/>
        <v>66.805709696721308</v>
      </c>
      <c r="P7" s="69">
        <f t="shared" si="9"/>
        <v>67.851459794566196</v>
      </c>
      <c r="Q7" s="69">
        <f t="shared" si="10"/>
        <v>82.231519968953521</v>
      </c>
      <c r="R7" s="69">
        <f t="shared" si="11"/>
        <v>76.209991869521403</v>
      </c>
      <c r="S7" s="69">
        <f t="shared" si="12"/>
        <v>75.584542311683393</v>
      </c>
      <c r="T7" s="68">
        <f t="shared" si="2"/>
        <v>57.766111907872542</v>
      </c>
      <c r="U7" s="68">
        <f t="shared" si="3"/>
        <v>19.591901197058675</v>
      </c>
      <c r="V7" s="69">
        <f t="shared" si="4"/>
        <v>73.736644728289164</v>
      </c>
      <c r="W7" s="69">
        <f t="shared" si="5"/>
        <v>5.7335562965779365</v>
      </c>
    </row>
    <row r="8" spans="1:23" x14ac:dyDescent="0.3">
      <c r="A8" s="59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65">
        <v>0.65610859728506787</v>
      </c>
      <c r="K8" s="70">
        <f t="shared" si="6"/>
        <v>21.723104442010996</v>
      </c>
      <c r="L8" s="70">
        <f t="shared" si="7"/>
        <v>35.022298536000001</v>
      </c>
      <c r="M8" s="70">
        <f t="shared" si="8"/>
        <v>19.310713987166686</v>
      </c>
      <c r="N8" s="68">
        <f t="shared" si="0"/>
        <v>85.602848344015115</v>
      </c>
      <c r="O8" s="69">
        <f t="shared" si="1"/>
        <v>52.658315999999992</v>
      </c>
      <c r="P8" s="69">
        <f t="shared" si="9"/>
        <v>53.788929227237517</v>
      </c>
      <c r="Q8" s="69">
        <f t="shared" si="10"/>
        <v>56.472083697609506</v>
      </c>
      <c r="R8" s="69">
        <f t="shared" si="11"/>
        <v>47.157073380491099</v>
      </c>
      <c r="S8" s="69">
        <f t="shared" si="12"/>
        <v>46.033651501018525</v>
      </c>
      <c r="T8" s="68">
        <f t="shared" si="2"/>
        <v>40.414741327298202</v>
      </c>
      <c r="U8" s="68">
        <f t="shared" si="3"/>
        <v>26.766586980955051</v>
      </c>
      <c r="V8" s="69">
        <f t="shared" si="4"/>
        <v>51.222010761271335</v>
      </c>
      <c r="W8" s="69">
        <f t="shared" si="5"/>
        <v>3.9914432655294911</v>
      </c>
    </row>
    <row r="9" spans="1:23" x14ac:dyDescent="0.3">
      <c r="A9" s="59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65">
        <v>0.71647509578544066</v>
      </c>
      <c r="K9" s="70">
        <f t="shared" si="6"/>
        <v>42.814707914337959</v>
      </c>
      <c r="L9" s="70">
        <f t="shared" si="7"/>
        <v>69.668847299999996</v>
      </c>
      <c r="M9" s="70">
        <f t="shared" si="8"/>
        <v>38.806277777993955</v>
      </c>
      <c r="N9" s="68">
        <f t="shared" si="0"/>
        <v>145.5285501737153</v>
      </c>
      <c r="O9" s="69">
        <f t="shared" si="1"/>
        <v>114.38954072796935</v>
      </c>
      <c r="P9" s="69">
        <f t="shared" si="9"/>
        <v>114.69016682393941</v>
      </c>
      <c r="Q9" s="69">
        <f t="shared" si="10"/>
        <v>110.96837794706217</v>
      </c>
      <c r="R9" s="69">
        <f t="shared" si="11"/>
        <v>90.746301402583285</v>
      </c>
      <c r="S9" s="69">
        <f t="shared" si="12"/>
        <v>88.221644659971389</v>
      </c>
      <c r="T9" s="68">
        <f t="shared" si="2"/>
        <v>74.204595791511807</v>
      </c>
      <c r="U9" s="68">
        <f t="shared" si="3"/>
        <v>42.854537280842806</v>
      </c>
      <c r="V9" s="69">
        <f t="shared" si="4"/>
        <v>103.80320631230511</v>
      </c>
      <c r="W9" s="69">
        <f t="shared" si="5"/>
        <v>11.791555448240896</v>
      </c>
    </row>
    <row r="10" spans="1:23" x14ac:dyDescent="0.3">
      <c r="A10" s="59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66">
        <v>0.72508591065292094</v>
      </c>
      <c r="K10" s="70">
        <f t="shared" si="6"/>
        <v>64.439562374360008</v>
      </c>
      <c r="L10" s="70">
        <f t="shared" si="7"/>
        <v>92.012347439999999</v>
      </c>
      <c r="M10" s="70">
        <f t="shared" si="8"/>
        <v>56.501175662520858</v>
      </c>
      <c r="N10" s="68">
        <f t="shared" si="0"/>
        <v>151.81605107719457</v>
      </c>
      <c r="O10" s="69">
        <f t="shared" si="1"/>
        <v>152.89108725773195</v>
      </c>
      <c r="P10" s="69">
        <f t="shared" si="9"/>
        <v>152.22926017744911</v>
      </c>
      <c r="Q10" s="69">
        <f t="shared" si="10"/>
        <v>160.35807576360671</v>
      </c>
      <c r="R10" s="69">
        <f t="shared" si="11"/>
        <v>139.51482850635713</v>
      </c>
      <c r="S10" s="69">
        <f t="shared" si="12"/>
        <v>135.63482739935452</v>
      </c>
      <c r="T10" s="68">
        <f t="shared" si="2"/>
        <v>91.192284138518858</v>
      </c>
      <c r="U10" s="68">
        <f t="shared" si="3"/>
        <v>37.400182989984359</v>
      </c>
      <c r="V10" s="69">
        <f t="shared" si="4"/>
        <v>148.1256158208999</v>
      </c>
      <c r="W10" s="69">
        <f t="shared" si="5"/>
        <v>9.1580363052166334</v>
      </c>
    </row>
    <row r="11" spans="1:23" x14ac:dyDescent="0.3">
      <c r="A11" s="59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67">
        <v>0.69483568075117375</v>
      </c>
      <c r="K11" s="70">
        <f t="shared" si="6"/>
        <v>47.665923122393345</v>
      </c>
      <c r="L11" s="70">
        <f t="shared" si="7"/>
        <v>67.890597600000007</v>
      </c>
      <c r="M11" s="70">
        <f t="shared" si="8"/>
        <v>41.45670555213357</v>
      </c>
      <c r="N11" s="68">
        <f t="shared" si="0"/>
        <v>120.31609151594604</v>
      </c>
      <c r="O11" s="69">
        <f t="shared" si="1"/>
        <v>108.10314666666666</v>
      </c>
      <c r="P11" s="69">
        <f t="shared" si="9"/>
        <v>108.53438638693694</v>
      </c>
      <c r="Q11" s="69">
        <f t="shared" si="10"/>
        <v>118.32075386964489</v>
      </c>
      <c r="R11" s="69">
        <f t="shared" si="11"/>
        <v>103.78475673836937</v>
      </c>
      <c r="S11" s="69">
        <f t="shared" si="12"/>
        <v>101.10266516990093</v>
      </c>
      <c r="T11" s="68">
        <f t="shared" si="2"/>
        <v>69.332329447618235</v>
      </c>
      <c r="U11" s="68">
        <f t="shared" si="3"/>
        <v>31.015746629625731</v>
      </c>
      <c r="V11" s="69">
        <f t="shared" si="4"/>
        <v>107.96914176630375</v>
      </c>
      <c r="W11" s="69">
        <f t="shared" si="5"/>
        <v>5.8677237638366018</v>
      </c>
    </row>
    <row r="12" spans="1:23" x14ac:dyDescent="0.3">
      <c r="A12" s="59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65">
        <v>0.67073170731707321</v>
      </c>
      <c r="K12" s="70">
        <f t="shared" si="6"/>
        <v>23.255975580088041</v>
      </c>
      <c r="L12" s="70">
        <f t="shared" si="7"/>
        <v>34.350881211000001</v>
      </c>
      <c r="M12" s="70">
        <f t="shared" si="8"/>
        <v>20.11900123156552</v>
      </c>
      <c r="N12" s="68">
        <f t="shared" si="0"/>
        <v>75.406210770962389</v>
      </c>
      <c r="O12" s="69">
        <f t="shared" si="1"/>
        <v>52.799925749999993</v>
      </c>
      <c r="P12" s="69">
        <f t="shared" si="9"/>
        <v>53.930103286993706</v>
      </c>
      <c r="Q12" s="69">
        <f t="shared" si="10"/>
        <v>61.518580731528658</v>
      </c>
      <c r="R12" s="69">
        <f t="shared" si="11"/>
        <v>53.945373506282017</v>
      </c>
      <c r="S12" s="69">
        <f t="shared" si="12"/>
        <v>52.603560268918891</v>
      </c>
      <c r="T12" s="68">
        <f t="shared" si="2"/>
        <v>38.283017198403989</v>
      </c>
      <c r="U12" s="68">
        <f t="shared" si="3"/>
        <v>22.07564636817709</v>
      </c>
      <c r="V12" s="69">
        <f t="shared" si="4"/>
        <v>54.95950870874465</v>
      </c>
      <c r="W12" s="69">
        <f t="shared" si="5"/>
        <v>3.32637529867241</v>
      </c>
    </row>
    <row r="13" spans="1:23" x14ac:dyDescent="0.3">
      <c r="A13" s="59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65">
        <v>0.703125</v>
      </c>
      <c r="K13" s="70">
        <f t="shared" si="6"/>
        <v>87.767019553705964</v>
      </c>
      <c r="L13" s="70">
        <f t="shared" si="7"/>
        <v>104.56283865600003</v>
      </c>
      <c r="M13" s="70">
        <f t="shared" si="8"/>
        <v>73.042580508324662</v>
      </c>
      <c r="N13" s="68">
        <f t="shared" si="0"/>
        <v>132.55021535571171</v>
      </c>
      <c r="O13" s="69">
        <f t="shared" si="1"/>
        <v>168.483159</v>
      </c>
      <c r="P13" s="69">
        <f t="shared" si="9"/>
        <v>167.3633192995633</v>
      </c>
      <c r="Q13" s="69">
        <f t="shared" si="10"/>
        <v>203.57429313665691</v>
      </c>
      <c r="R13" s="69">
        <f t="shared" si="11"/>
        <v>193.96393912084778</v>
      </c>
      <c r="S13" s="69">
        <f t="shared" si="12"/>
        <v>189.01573789645261</v>
      </c>
      <c r="T13" s="68">
        <f t="shared" si="2"/>
        <v>99.480663518435591</v>
      </c>
      <c r="U13" s="68">
        <f t="shared" si="3"/>
        <v>22.111114009865808</v>
      </c>
      <c r="V13" s="69">
        <f t="shared" si="4"/>
        <v>184.48008969070412</v>
      </c>
      <c r="W13" s="69">
        <f t="shared" si="5"/>
        <v>14.310763292302807</v>
      </c>
    </row>
    <row r="14" spans="1:23" x14ac:dyDescent="0.3">
      <c r="A14" s="59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65">
        <v>0.39500000000000002</v>
      </c>
      <c r="K14" s="70">
        <f t="shared" si="6"/>
        <v>136.60250515356253</v>
      </c>
      <c r="L14" s="70">
        <f t="shared" si="7"/>
        <v>173.76012048000001</v>
      </c>
      <c r="M14" s="70">
        <f t="shared" si="8"/>
        <v>117.40976756050668</v>
      </c>
      <c r="N14" s="68">
        <f t="shared" si="0"/>
        <v>211.45755458962046</v>
      </c>
      <c r="O14" s="69">
        <f t="shared" si="1"/>
        <v>157.28735048000001</v>
      </c>
      <c r="P14" s="69">
        <f t="shared" si="9"/>
        <v>156.49997963500013</v>
      </c>
      <c r="Q14" s="69">
        <f t="shared" si="10"/>
        <v>159.37402756056949</v>
      </c>
      <c r="R14" s="69">
        <f t="shared" si="11"/>
        <v>138.97410308570173</v>
      </c>
      <c r="S14" s="69">
        <f t="shared" si="12"/>
        <v>140.03792710944157</v>
      </c>
      <c r="T14" s="68">
        <f t="shared" si="2"/>
        <v>159.80748694592242</v>
      </c>
      <c r="U14" s="68">
        <f t="shared" si="3"/>
        <v>36.050115322988439</v>
      </c>
      <c r="V14" s="69">
        <f t="shared" si="4"/>
        <v>150.4346775741426</v>
      </c>
      <c r="W14" s="69">
        <f t="shared" si="5"/>
        <v>8.9788215379782237</v>
      </c>
    </row>
    <row r="15" spans="1:23" x14ac:dyDescent="0.3">
      <c r="A15" s="59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65">
        <v>0.46368715083798884</v>
      </c>
      <c r="K15" s="70">
        <f t="shared" si="6"/>
        <v>86.840005642575207</v>
      </c>
      <c r="L15" s="70">
        <f t="shared" si="7"/>
        <v>106.28549670900004</v>
      </c>
      <c r="M15" s="70">
        <f t="shared" si="8"/>
        <v>72.896818922532134</v>
      </c>
      <c r="N15" s="68">
        <f t="shared" si="0"/>
        <v>138.91301245775276</v>
      </c>
      <c r="O15" s="69">
        <f t="shared" si="1"/>
        <v>112.93944779944138</v>
      </c>
      <c r="P15" s="69">
        <f t="shared" si="9"/>
        <v>113.27093981115826</v>
      </c>
      <c r="Q15" s="69">
        <f t="shared" si="10"/>
        <v>128.70085828195721</v>
      </c>
      <c r="R15" s="69">
        <f t="shared" si="11"/>
        <v>117.57619349613297</v>
      </c>
      <c r="S15" s="69">
        <f t="shared" si="12"/>
        <v>117.32818110018769</v>
      </c>
      <c r="T15" s="68">
        <f t="shared" si="2"/>
        <v>101.23383343296504</v>
      </c>
      <c r="U15" s="68">
        <f t="shared" si="3"/>
        <v>24.776039350854251</v>
      </c>
      <c r="V15" s="69">
        <f t="shared" si="4"/>
        <v>117.96312409777552</v>
      </c>
      <c r="W15" s="69">
        <f t="shared" si="5"/>
        <v>5.7114922785702769</v>
      </c>
    </row>
    <row r="16" spans="1:23" x14ac:dyDescent="0.3">
      <c r="A16" s="59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65">
        <v>0.42857142857142855</v>
      </c>
      <c r="K16" s="70">
        <f t="shared" si="6"/>
        <v>64.857571218208847</v>
      </c>
      <c r="L16" s="70">
        <f t="shared" si="7"/>
        <v>84.926668800000002</v>
      </c>
      <c r="M16" s="70">
        <f t="shared" si="8"/>
        <v>55.27760354739727</v>
      </c>
      <c r="N16" s="68">
        <f t="shared" si="0"/>
        <v>127.89441167183098</v>
      </c>
      <c r="O16" s="69">
        <f t="shared" si="1"/>
        <v>83.409188571428558</v>
      </c>
      <c r="P16" s="69">
        <f t="shared" si="9"/>
        <v>84.264743373937264</v>
      </c>
      <c r="Q16" s="69">
        <f t="shared" si="10"/>
        <v>91.839835170302948</v>
      </c>
      <c r="R16" s="69">
        <f t="shared" si="11"/>
        <v>81.080969025957984</v>
      </c>
      <c r="S16" s="69">
        <f t="shared" si="12"/>
        <v>81.236513355760124</v>
      </c>
      <c r="T16" s="68">
        <f t="shared" si="2"/>
        <v>83.239063809359266</v>
      </c>
      <c r="U16" s="68">
        <f t="shared" si="3"/>
        <v>27.913574803232382</v>
      </c>
      <c r="V16" s="69">
        <f t="shared" si="4"/>
        <v>84.366249899477367</v>
      </c>
      <c r="W16" s="69">
        <f t="shared" si="5"/>
        <v>3.9336768553521595</v>
      </c>
    </row>
    <row r="17" spans="1:23" x14ac:dyDescent="0.3">
      <c r="A17" s="59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65">
        <v>0.40625</v>
      </c>
      <c r="K17" s="70">
        <f t="shared" si="6"/>
        <v>48.357453100469129</v>
      </c>
      <c r="L17" s="70">
        <f t="shared" si="7"/>
        <v>64.845619409999998</v>
      </c>
      <c r="M17" s="70">
        <f t="shared" si="8"/>
        <v>41.245748770714577</v>
      </c>
      <c r="N17" s="68">
        <f t="shared" si="0"/>
        <v>107.57805682545897</v>
      </c>
      <c r="O17" s="69">
        <f t="shared" si="1"/>
        <v>60.369921218749994</v>
      </c>
      <c r="P17" s="69">
        <f t="shared" si="9"/>
        <v>61.464174648886299</v>
      </c>
      <c r="Q17" s="69">
        <f t="shared" si="10"/>
        <v>67.362150563262205</v>
      </c>
      <c r="R17" s="69">
        <f t="shared" si="11"/>
        <v>59.01410726978618</v>
      </c>
      <c r="S17" s="69">
        <f t="shared" si="12"/>
        <v>59.282871508835896</v>
      </c>
      <c r="T17" s="68">
        <f t="shared" si="2"/>
        <v>65.506719526660675</v>
      </c>
      <c r="U17" s="68">
        <f t="shared" si="3"/>
        <v>25.754254582742618</v>
      </c>
      <c r="V17" s="69">
        <f t="shared" si="4"/>
        <v>61.498645041904112</v>
      </c>
      <c r="W17" s="69">
        <f t="shared" si="5"/>
        <v>3.0574002998257725</v>
      </c>
    </row>
    <row r="18" spans="1:23" x14ac:dyDescent="0.3">
      <c r="A18" s="59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65">
        <v>0.43792325056433407</v>
      </c>
      <c r="K18" s="70">
        <f t="shared" si="6"/>
        <v>164.48904158812033</v>
      </c>
      <c r="L18" s="70">
        <f t="shared" si="7"/>
        <v>185.39802078000002</v>
      </c>
      <c r="M18" s="70">
        <f t="shared" si="8"/>
        <v>136.46898047391232</v>
      </c>
      <c r="N18" s="68">
        <f t="shared" si="0"/>
        <v>190.16332694504101</v>
      </c>
      <c r="O18" s="69">
        <f t="shared" si="1"/>
        <v>186.0585745282167</v>
      </c>
      <c r="P18" s="69">
        <f t="shared" si="9"/>
        <v>184.38230356964721</v>
      </c>
      <c r="Q18" s="69">
        <f t="shared" si="10"/>
        <v>209.81468271339196</v>
      </c>
      <c r="R18" s="69">
        <f t="shared" si="11"/>
        <v>196.10533440694201</v>
      </c>
      <c r="S18" s="69">
        <f t="shared" si="12"/>
        <v>196.51999681091985</v>
      </c>
      <c r="T18" s="68">
        <f t="shared" si="2"/>
        <v>169.12984244676844</v>
      </c>
      <c r="U18" s="68">
        <f t="shared" si="3"/>
        <v>21.185667524534516</v>
      </c>
      <c r="V18" s="69">
        <f t="shared" si="4"/>
        <v>194.57617840582355</v>
      </c>
      <c r="W18" s="69">
        <f t="shared" si="5"/>
        <v>9.1081658042767444</v>
      </c>
    </row>
    <row r="19" spans="1:23" x14ac:dyDescent="0.3">
      <c r="A19" s="59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65">
        <v>0.45070422535211269</v>
      </c>
      <c r="K19" s="70">
        <f t="shared" si="6"/>
        <v>25.918800347020802</v>
      </c>
      <c r="L19" s="70">
        <f t="shared" si="7"/>
        <v>28.8032544</v>
      </c>
      <c r="M19" s="70">
        <f t="shared" si="8"/>
        <v>20.470646848613331</v>
      </c>
      <c r="N19" s="68">
        <f t="shared" si="0"/>
        <v>45.844199849688202</v>
      </c>
      <c r="O19" s="69">
        <f t="shared" si="1"/>
        <v>29.749507605633802</v>
      </c>
      <c r="P19" s="69">
        <f t="shared" si="9"/>
        <v>30.807567373997031</v>
      </c>
      <c r="Q19" s="69">
        <f t="shared" si="10"/>
        <v>44.48935660933217</v>
      </c>
      <c r="R19" s="69">
        <f t="shared" si="11"/>
        <v>44.515349241077985</v>
      </c>
      <c r="S19" s="69">
        <f t="shared" si="12"/>
        <v>44.424103895574881</v>
      </c>
      <c r="T19" s="68">
        <f t="shared" si="2"/>
        <v>30.259225361330586</v>
      </c>
      <c r="U19" s="68">
        <f t="shared" si="3"/>
        <v>9.4824421939639478</v>
      </c>
      <c r="V19" s="69">
        <f t="shared" si="4"/>
        <v>38.797176945123176</v>
      </c>
      <c r="W19" s="69">
        <f t="shared" si="5"/>
        <v>6.9635463984573924</v>
      </c>
    </row>
    <row r="20" spans="1:23" x14ac:dyDescent="0.3">
      <c r="A20" s="59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65">
        <v>0.58227848101265822</v>
      </c>
      <c r="K20" s="70">
        <f t="shared" si="6"/>
        <v>57.749140557106642</v>
      </c>
      <c r="L20" s="70">
        <f t="shared" si="7"/>
        <v>78.337046208000004</v>
      </c>
      <c r="M20" s="70">
        <f t="shared" si="8"/>
        <v>49.655628229066984</v>
      </c>
      <c r="N20" s="68">
        <f t="shared" si="0"/>
        <v>125.90893913864643</v>
      </c>
      <c r="O20" s="69">
        <f t="shared" si="1"/>
        <v>104.53086023291139</v>
      </c>
      <c r="P20" s="69">
        <f t="shared" si="9"/>
        <v>105.03252244550795</v>
      </c>
      <c r="Q20" s="69">
        <f t="shared" si="10"/>
        <v>115.50652308880539</v>
      </c>
      <c r="R20" s="69">
        <f t="shared" si="11"/>
        <v>102.34280001472503</v>
      </c>
      <c r="S20" s="69">
        <f t="shared" si="12"/>
        <v>100.74060382451</v>
      </c>
      <c r="T20" s="68">
        <f t="shared" si="2"/>
        <v>77.912688533205014</v>
      </c>
      <c r="U20" s="68">
        <f t="shared" si="3"/>
        <v>29.617774543475601</v>
      </c>
      <c r="V20" s="69">
        <f t="shared" si="4"/>
        <v>105.63066192129195</v>
      </c>
      <c r="W20" s="69">
        <f t="shared" si="5"/>
        <v>5.1734451285929852</v>
      </c>
    </row>
    <row r="21" spans="1:23" x14ac:dyDescent="0.3">
      <c r="A21" s="59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65">
        <v>0.53846153846153844</v>
      </c>
      <c r="K21" s="70">
        <f t="shared" si="6"/>
        <v>56.646529284036639</v>
      </c>
      <c r="L21" s="70">
        <f t="shared" si="7"/>
        <v>80.690799957000024</v>
      </c>
      <c r="M21" s="70">
        <f t="shared" si="8"/>
        <v>49.474854783972269</v>
      </c>
      <c r="N21" s="68">
        <f t="shared" si="0"/>
        <v>137.07854076142746</v>
      </c>
      <c r="O21" s="69">
        <f t="shared" si="1"/>
        <v>99.569264900000007</v>
      </c>
      <c r="P21" s="69">
        <f t="shared" si="9"/>
        <v>100.16394782751173</v>
      </c>
      <c r="Q21" s="69">
        <f t="shared" si="10"/>
        <v>104.23310073500977</v>
      </c>
      <c r="R21" s="69">
        <f t="shared" si="11"/>
        <v>89.428963185424024</v>
      </c>
      <c r="S21" s="69">
        <f t="shared" si="12"/>
        <v>88.416350602944036</v>
      </c>
      <c r="T21" s="68">
        <f t="shared" si="2"/>
        <v>80.972681196609102</v>
      </c>
      <c r="U21" s="68">
        <f t="shared" si="3"/>
        <v>34.394118938179382</v>
      </c>
      <c r="V21" s="69">
        <f t="shared" si="4"/>
        <v>96.362325450177906</v>
      </c>
      <c r="W21" s="69">
        <f t="shared" si="5"/>
        <v>6.2911990190452105</v>
      </c>
    </row>
    <row r="22" spans="1:23" x14ac:dyDescent="0.3">
      <c r="A22" s="59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67">
        <v>0.49342105263157893</v>
      </c>
      <c r="K22" s="70">
        <f t="shared" si="6"/>
        <v>43.972015168245861</v>
      </c>
      <c r="L22" s="70">
        <f t="shared" si="7"/>
        <v>60.891684860999995</v>
      </c>
      <c r="M22" s="70">
        <f t="shared" si="8"/>
        <v>37.817635938026122</v>
      </c>
      <c r="N22" s="68">
        <f t="shared" si="0"/>
        <v>106.90952769132673</v>
      </c>
      <c r="O22" s="69">
        <f t="shared" si="1"/>
        <v>68.85290343749999</v>
      </c>
      <c r="P22" s="69">
        <f t="shared" si="9"/>
        <v>69.880059184368903</v>
      </c>
      <c r="Q22" s="69">
        <f t="shared" si="10"/>
        <v>76.459436363136234</v>
      </c>
      <c r="R22" s="69">
        <f t="shared" si="11"/>
        <v>66.812139493124789</v>
      </c>
      <c r="S22" s="69">
        <f t="shared" si="12"/>
        <v>66.364740812987051</v>
      </c>
      <c r="T22" s="68">
        <f t="shared" si="2"/>
        <v>62.397715914649673</v>
      </c>
      <c r="U22" s="68">
        <f t="shared" si="3"/>
        <v>27.052062291210465</v>
      </c>
      <c r="V22" s="69">
        <f t="shared" si="4"/>
        <v>69.673855858223391</v>
      </c>
      <c r="W22" s="69">
        <f t="shared" si="5"/>
        <v>3.630433814693252</v>
      </c>
    </row>
    <row r="23" spans="1:23" x14ac:dyDescent="0.3">
      <c r="A23" s="59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65">
        <v>0.54658385093167705</v>
      </c>
      <c r="K23" s="70">
        <f t="shared" si="6"/>
        <v>47.761387774507611</v>
      </c>
      <c r="L23" s="70">
        <f t="shared" si="7"/>
        <v>58.235653055999997</v>
      </c>
      <c r="M23" s="70">
        <f t="shared" si="8"/>
        <v>39.469530697080451</v>
      </c>
      <c r="N23" s="68">
        <f t="shared" si="0"/>
        <v>87.811676042500451</v>
      </c>
      <c r="O23" s="69">
        <f t="shared" si="1"/>
        <v>72.944464139130432</v>
      </c>
      <c r="P23" s="69">
        <f t="shared" si="9"/>
        <v>73.930162681484205</v>
      </c>
      <c r="Q23" s="69">
        <f t="shared" si="10"/>
        <v>92.091749595943767</v>
      </c>
      <c r="R23" s="69">
        <f t="shared" si="11"/>
        <v>86.841431260556178</v>
      </c>
      <c r="S23" s="69">
        <f t="shared" si="12"/>
        <v>85.77812026429136</v>
      </c>
      <c r="T23" s="68">
        <f t="shared" si="2"/>
        <v>58.319561892522131</v>
      </c>
      <c r="U23" s="68">
        <f t="shared" si="3"/>
        <v>18.279705649323454</v>
      </c>
      <c r="V23" s="69">
        <f t="shared" si="4"/>
        <v>82.317185588281205</v>
      </c>
      <c r="W23" s="69">
        <f t="shared" si="5"/>
        <v>7.5654349495202098</v>
      </c>
    </row>
    <row r="24" spans="1:23" x14ac:dyDescent="0.3">
      <c r="A24" s="59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65">
        <v>0.61250000000000004</v>
      </c>
      <c r="K24" s="70">
        <f t="shared" si="6"/>
        <v>42.976369993304075</v>
      </c>
      <c r="L24" s="70">
        <f t="shared" si="7"/>
        <v>57.686859341999984</v>
      </c>
      <c r="M24" s="70">
        <f t="shared" si="8"/>
        <v>36.563792577069911</v>
      </c>
      <c r="N24" s="68">
        <f t="shared" si="0"/>
        <v>98.617493947276444</v>
      </c>
      <c r="O24" s="69">
        <f t="shared" si="1"/>
        <v>80.971014442499992</v>
      </c>
      <c r="P24" s="69">
        <f t="shared" si="9"/>
        <v>81.859824675151643</v>
      </c>
      <c r="Q24" s="69">
        <f t="shared" si="10"/>
        <v>94.746973314952882</v>
      </c>
      <c r="R24" s="69">
        <f t="shared" si="11"/>
        <v>85.523475402778857</v>
      </c>
      <c r="S24" s="69">
        <f t="shared" si="12"/>
        <v>83.908573078216435</v>
      </c>
      <c r="T24" s="68">
        <f t="shared" si="2"/>
        <v>58.961128964912604</v>
      </c>
      <c r="U24" s="68">
        <f t="shared" si="3"/>
        <v>24.142308523300606</v>
      </c>
      <c r="V24" s="69">
        <f t="shared" si="4"/>
        <v>85.401972182719959</v>
      </c>
      <c r="W24" s="69">
        <f t="shared" si="5"/>
        <v>4.9346579524874645</v>
      </c>
    </row>
    <row r="25" spans="1:23" x14ac:dyDescent="0.3">
      <c r="A25" s="59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65">
        <v>0.56896551724137934</v>
      </c>
      <c r="K25" s="70">
        <f t="shared" si="6"/>
        <v>24.224291211193648</v>
      </c>
      <c r="L25" s="70">
        <f t="shared" si="7"/>
        <v>27.899737680000001</v>
      </c>
      <c r="M25" s="70">
        <f t="shared" si="8"/>
        <v>19.327273623599073</v>
      </c>
      <c r="N25" s="68">
        <f t="shared" si="0"/>
        <v>46.853623579190248</v>
      </c>
      <c r="O25" s="69">
        <f t="shared" si="1"/>
        <v>36.377483999999995</v>
      </c>
      <c r="P25" s="69">
        <f t="shared" si="9"/>
        <v>37.489859626692365</v>
      </c>
      <c r="Q25" s="69">
        <f t="shared" si="10"/>
        <v>53.886758182957649</v>
      </c>
      <c r="R25" s="69">
        <f t="shared" si="11"/>
        <v>53.75921900722274</v>
      </c>
      <c r="S25" s="69">
        <f t="shared" si="12"/>
        <v>52.933145001332022</v>
      </c>
      <c r="T25" s="68">
        <f t="shared" si="2"/>
        <v>29.576231523495743</v>
      </c>
      <c r="U25" s="68">
        <f t="shared" si="3"/>
        <v>10.428366494731486</v>
      </c>
      <c r="V25" s="69">
        <f t="shared" si="4"/>
        <v>46.889293163640957</v>
      </c>
      <c r="W25" s="69">
        <f t="shared" si="5"/>
        <v>8.1429236216134697</v>
      </c>
    </row>
    <row r="26" spans="1:23" x14ac:dyDescent="0.3">
      <c r="A26" s="59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65">
        <v>0.34926470588235292</v>
      </c>
      <c r="K26" s="70">
        <f t="shared" si="6"/>
        <v>54.835816821976017</v>
      </c>
      <c r="L26" s="70">
        <f t="shared" si="7"/>
        <v>74.733761034000011</v>
      </c>
      <c r="M26" s="70">
        <f t="shared" si="8"/>
        <v>47.164333668092411</v>
      </c>
      <c r="N26" s="68">
        <f t="shared" si="0"/>
        <v>122.24595919482643</v>
      </c>
      <c r="O26" s="69">
        <f t="shared" si="1"/>
        <v>59.816105327205889</v>
      </c>
      <c r="P26" s="69">
        <f t="shared" si="9"/>
        <v>60.913792127941662</v>
      </c>
      <c r="Q26" s="69">
        <f t="shared" si="10"/>
        <v>63.709651595653597</v>
      </c>
      <c r="R26" s="69">
        <f t="shared" si="11"/>
        <v>54.546063177186234</v>
      </c>
      <c r="S26" s="69">
        <f t="shared" si="12"/>
        <v>55.278035451639717</v>
      </c>
      <c r="T26" s="68">
        <f t="shared" si="2"/>
        <v>74.744967679723715</v>
      </c>
      <c r="U26" s="68">
        <f t="shared" si="3"/>
        <v>29.212197712885622</v>
      </c>
      <c r="V26" s="69">
        <f t="shared" si="4"/>
        <v>58.852729535925413</v>
      </c>
      <c r="W26" s="69">
        <f t="shared" si="5"/>
        <v>3.466744199949896</v>
      </c>
    </row>
    <row r="27" spans="1:23" x14ac:dyDescent="0.3">
      <c r="A27" s="59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65">
        <v>0.33214285714285713</v>
      </c>
      <c r="K27" s="70">
        <f t="shared" si="6"/>
        <v>77.550062734419853</v>
      </c>
      <c r="L27" s="70">
        <f t="shared" si="7"/>
        <v>110.20801307400001</v>
      </c>
      <c r="M27" s="70">
        <f t="shared" si="8"/>
        <v>68.194289081780056</v>
      </c>
      <c r="N27" s="68">
        <f t="shared" si="0"/>
        <v>172.89615176405852</v>
      </c>
      <c r="O27" s="69">
        <f t="shared" si="1"/>
        <v>83.885072059285704</v>
      </c>
      <c r="P27" s="69">
        <f t="shared" si="9"/>
        <v>84.733937733562911</v>
      </c>
      <c r="Q27" s="69">
        <f t="shared" si="10"/>
        <v>81.073607116089761</v>
      </c>
      <c r="R27" s="69">
        <f t="shared" si="11"/>
        <v>66.829544938242876</v>
      </c>
      <c r="S27" s="69">
        <f t="shared" si="12"/>
        <v>67.95045798961614</v>
      </c>
      <c r="T27" s="68">
        <f t="shared" si="2"/>
        <v>107.21212916356461</v>
      </c>
      <c r="U27" s="68">
        <f t="shared" si="3"/>
        <v>41.004866098067268</v>
      </c>
      <c r="V27" s="69">
        <f t="shared" si="4"/>
        <v>76.894523967359476</v>
      </c>
      <c r="W27" s="69">
        <f t="shared" si="5"/>
        <v>7.8624299788049781</v>
      </c>
    </row>
    <row r="28" spans="1:23" x14ac:dyDescent="0.3">
      <c r="A28" s="59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65">
        <v>0.34365325077399383</v>
      </c>
      <c r="K28" s="70">
        <f t="shared" si="6"/>
        <v>57.701545722342907</v>
      </c>
      <c r="L28" s="70">
        <f t="shared" si="7"/>
        <v>65.984699331000002</v>
      </c>
      <c r="M28" s="70">
        <f t="shared" si="8"/>
        <v>46.900850573372274</v>
      </c>
      <c r="N28" s="68">
        <f t="shared" si="0"/>
        <v>88.871997570816845</v>
      </c>
      <c r="O28" s="69">
        <f t="shared" si="1"/>
        <v>51.964923307430347</v>
      </c>
      <c r="P28" s="69">
        <f t="shared" si="9"/>
        <v>53.09753788008603</v>
      </c>
      <c r="Q28" s="69">
        <f t="shared" si="10"/>
        <v>65.854559551240499</v>
      </c>
      <c r="R28" s="69">
        <f t="shared" si="11"/>
        <v>62.11104515174209</v>
      </c>
      <c r="S28" s="69">
        <f t="shared" si="12"/>
        <v>63.018328940205841</v>
      </c>
      <c r="T28" s="68">
        <f t="shared" si="2"/>
        <v>64.864773299383003</v>
      </c>
      <c r="U28" s="68">
        <f t="shared" si="3"/>
        <v>15.424132070895984</v>
      </c>
      <c r="V28" s="69">
        <f t="shared" si="4"/>
        <v>59.209278966140957</v>
      </c>
      <c r="W28" s="69">
        <f t="shared" si="5"/>
        <v>5.6021947622050243</v>
      </c>
    </row>
    <row r="29" spans="1:23" x14ac:dyDescent="0.3">
      <c r="A29" s="59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22" t="s">
        <v>21</v>
      </c>
      <c r="H29" s="22">
        <v>24.5</v>
      </c>
      <c r="I29" s="22">
        <v>11.9</v>
      </c>
      <c r="J29" s="65">
        <v>0.34666666666666668</v>
      </c>
      <c r="K29" s="70">
        <f t="shared" si="6"/>
        <v>173.59158932450023</v>
      </c>
      <c r="L29" s="70">
        <f t="shared" si="7"/>
        <v>174.23858917500002</v>
      </c>
      <c r="M29" s="70">
        <f t="shared" si="8"/>
        <v>138.8065760361915</v>
      </c>
      <c r="N29" s="68">
        <f t="shared" si="0"/>
        <v>156.40114010938478</v>
      </c>
      <c r="O29" s="69">
        <f t="shared" si="1"/>
        <v>138.42133153333336</v>
      </c>
      <c r="P29" s="69">
        <f t="shared" si="9"/>
        <v>138.15139982167074</v>
      </c>
      <c r="Q29" s="69">
        <f t="shared" si="10"/>
        <v>171.61586003723787</v>
      </c>
      <c r="R29" s="69">
        <f t="shared" si="11"/>
        <v>168.42288962558084</v>
      </c>
      <c r="S29" s="69">
        <f t="shared" si="12"/>
        <v>171.07879391825071</v>
      </c>
      <c r="T29" s="68">
        <f t="shared" si="2"/>
        <v>160.75947366126911</v>
      </c>
      <c r="U29" s="68">
        <f t="shared" si="3"/>
        <v>14.553990285430844</v>
      </c>
      <c r="V29" s="69">
        <f t="shared" si="4"/>
        <v>157.53805498721471</v>
      </c>
      <c r="W29" s="69">
        <f t="shared" si="5"/>
        <v>15.756315210412597</v>
      </c>
    </row>
    <row r="30" spans="1:23" x14ac:dyDescent="0.3">
      <c r="A30" s="59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65">
        <v>0.35307517084282458</v>
      </c>
      <c r="K30" s="70">
        <f t="shared" si="6"/>
        <v>209.54021616539788</v>
      </c>
      <c r="L30" s="70">
        <f t="shared" si="7"/>
        <v>275.92971311999997</v>
      </c>
      <c r="M30" s="70">
        <f t="shared" si="8"/>
        <v>184.05479562008213</v>
      </c>
      <c r="N30" s="68">
        <f t="shared" si="0"/>
        <v>313.33010772141915</v>
      </c>
      <c r="O30" s="69">
        <f t="shared" si="1"/>
        <v>223.26067808656032</v>
      </c>
      <c r="P30" s="69">
        <f t="shared" si="9"/>
        <v>220.28345801352725</v>
      </c>
      <c r="Q30" s="69">
        <f t="shared" si="10"/>
        <v>203.45455136172177</v>
      </c>
      <c r="R30" s="69">
        <f t="shared" si="11"/>
        <v>170.38419149213337</v>
      </c>
      <c r="S30" s="69">
        <f t="shared" si="12"/>
        <v>172.88741380185189</v>
      </c>
      <c r="T30" s="68">
        <f t="shared" si="2"/>
        <v>245.71370815672478</v>
      </c>
      <c r="U30" s="68">
        <f t="shared" si="3"/>
        <v>51.46680353412534</v>
      </c>
      <c r="V30" s="69">
        <f t="shared" si="4"/>
        <v>198.0540585511589</v>
      </c>
      <c r="W30" s="69">
        <f t="shared" si="5"/>
        <v>22.617103008382571</v>
      </c>
    </row>
    <row r="31" spans="1:23" x14ac:dyDescent="0.3">
      <c r="A31" s="59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65">
        <v>0.34420289855072461</v>
      </c>
      <c r="K31" s="70">
        <f t="shared" si="6"/>
        <v>47.379812463008413</v>
      </c>
      <c r="L31" s="70">
        <f t="shared" si="7"/>
        <v>60.191776512000011</v>
      </c>
      <c r="M31" s="70">
        <f t="shared" si="8"/>
        <v>39.679475373797139</v>
      </c>
      <c r="N31" s="68">
        <f t="shared" si="0"/>
        <v>94.893167399390066</v>
      </c>
      <c r="O31" s="69">
        <f t="shared" si="1"/>
        <v>47.478640695652167</v>
      </c>
      <c r="P31" s="69">
        <f t="shared" si="9"/>
        <v>48.618712938934173</v>
      </c>
      <c r="Q31" s="69">
        <f t="shared" si="10"/>
        <v>55.491410988053303</v>
      </c>
      <c r="R31" s="69">
        <f t="shared" si="11"/>
        <v>49.62057859104516</v>
      </c>
      <c r="S31" s="69">
        <f t="shared" si="12"/>
        <v>50.321862495960012</v>
      </c>
      <c r="T31" s="68">
        <f t="shared" si="2"/>
        <v>60.536057937048909</v>
      </c>
      <c r="U31" s="68">
        <f t="shared" si="3"/>
        <v>21.146000398999075</v>
      </c>
      <c r="V31" s="69">
        <f t="shared" si="4"/>
        <v>50.306241141928965</v>
      </c>
      <c r="W31" s="69">
        <f t="shared" si="5"/>
        <v>2.7640347035893353</v>
      </c>
    </row>
    <row r="32" spans="1:23" x14ac:dyDescent="0.3">
      <c r="A32" s="59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65">
        <v>0.5829596412556054</v>
      </c>
      <c r="K32" s="70">
        <f t="shared" si="6"/>
        <v>28.424360108786871</v>
      </c>
      <c r="L32" s="70">
        <f t="shared" si="7"/>
        <v>36.960932211000006</v>
      </c>
      <c r="M32" s="70">
        <f t="shared" si="8"/>
        <v>23.694039007706287</v>
      </c>
      <c r="N32" s="68">
        <f t="shared" si="0"/>
        <v>67.676633362222702</v>
      </c>
      <c r="O32" s="69">
        <f t="shared" si="1"/>
        <v>49.377374928251122</v>
      </c>
      <c r="P32" s="69">
        <f t="shared" si="9"/>
        <v>50.515477833262089</v>
      </c>
      <c r="Q32" s="69">
        <f t="shared" si="10"/>
        <v>63.129583927042276</v>
      </c>
      <c r="R32" s="69">
        <f t="shared" si="11"/>
        <v>58.591476233041867</v>
      </c>
      <c r="S32" s="69">
        <f t="shared" si="12"/>
        <v>57.61675242794945</v>
      </c>
      <c r="T32" s="68">
        <f t="shared" si="2"/>
        <v>39.18899117242897</v>
      </c>
      <c r="U32" s="68">
        <f t="shared" si="3"/>
        <v>17.12075369830934</v>
      </c>
      <c r="V32" s="69">
        <f t="shared" si="4"/>
        <v>55.846133069909364</v>
      </c>
      <c r="W32" s="69">
        <f t="shared" si="5"/>
        <v>5.1765118666909213</v>
      </c>
    </row>
    <row r="33" spans="1:23" x14ac:dyDescent="0.3">
      <c r="A33" s="59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65">
        <v>0.5892857142857143</v>
      </c>
      <c r="K33" s="70">
        <f t="shared" si="6"/>
        <v>23.410072466227707</v>
      </c>
      <c r="L33" s="70">
        <f t="shared" si="7"/>
        <v>29.374636031999994</v>
      </c>
      <c r="M33" s="70">
        <f t="shared" si="8"/>
        <v>19.196408982589762</v>
      </c>
      <c r="N33" s="68">
        <f t="shared" si="0"/>
        <v>54.36688852501856</v>
      </c>
      <c r="O33" s="69">
        <f t="shared" si="1"/>
        <v>39.668428799999987</v>
      </c>
      <c r="P33" s="69">
        <f t="shared" si="9"/>
        <v>40.79655195191517</v>
      </c>
      <c r="Q33" s="69">
        <f t="shared" si="10"/>
        <v>54.163778867979254</v>
      </c>
      <c r="R33" s="69">
        <f t="shared" si="11"/>
        <v>51.6472717533576</v>
      </c>
      <c r="S33" s="69">
        <f t="shared" si="12"/>
        <v>50.745088986282262</v>
      </c>
      <c r="T33" s="68">
        <f t="shared" si="2"/>
        <v>31.587001501459007</v>
      </c>
      <c r="U33" s="68">
        <f t="shared" si="3"/>
        <v>13.640076660272648</v>
      </c>
      <c r="V33" s="69">
        <f t="shared" si="4"/>
        <v>47.404224071906853</v>
      </c>
      <c r="W33" s="69">
        <f t="shared" si="5"/>
        <v>5.9726086826184313</v>
      </c>
    </row>
    <row r="34" spans="1:23" x14ac:dyDescent="0.3">
      <c r="A34" s="59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65">
        <v>0.5728952772073922</v>
      </c>
      <c r="K34" s="70">
        <f t="shared" si="6"/>
        <v>169.9949713663205</v>
      </c>
      <c r="L34" s="70">
        <f t="shared" si="7"/>
        <v>240.43692239999999</v>
      </c>
      <c r="M34" s="70">
        <f t="shared" si="8"/>
        <v>152.10503413549651</v>
      </c>
      <c r="N34" s="68">
        <f t="shared" si="0"/>
        <v>309.5153797520847</v>
      </c>
      <c r="O34" s="69">
        <f t="shared" si="1"/>
        <v>315.66250201232032</v>
      </c>
      <c r="P34" s="69">
        <f t="shared" si="9"/>
        <v>308.87501703996196</v>
      </c>
      <c r="Q34" s="69">
        <f t="shared" si="10"/>
        <v>285.65886837975046</v>
      </c>
      <c r="R34" s="69">
        <f t="shared" si="11"/>
        <v>238.65555675532929</v>
      </c>
      <c r="S34" s="69">
        <f t="shared" si="12"/>
        <v>235.47608694947817</v>
      </c>
      <c r="T34" s="68">
        <f t="shared" ref="T34:T65" si="13">AVERAGE(K34:N34)</f>
        <v>218.01307691347546</v>
      </c>
      <c r="U34" s="68">
        <f t="shared" ref="U34:U65" si="14">_xlfn.STDEV.P(K34:N34)</f>
        <v>62.299897340071119</v>
      </c>
      <c r="V34" s="69">
        <f t="shared" ref="V34:V65" si="15">AVERAGE(O34:S34)</f>
        <v>276.86560622736806</v>
      </c>
      <c r="W34" s="69">
        <f t="shared" ref="W34:W65" si="16">_xlfn.STDEV.P(O34:S34)</f>
        <v>34.00065631457354</v>
      </c>
    </row>
    <row r="35" spans="1:23" x14ac:dyDescent="0.3">
      <c r="A35" s="59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65">
        <v>0.5625</v>
      </c>
      <c r="K35" s="70">
        <f t="shared" si="6"/>
        <v>44.640065364320535</v>
      </c>
      <c r="L35" s="70">
        <f t="shared" si="7"/>
        <v>79.155163035000001</v>
      </c>
      <c r="M35" s="70">
        <f t="shared" si="8"/>
        <v>41.663531849169367</v>
      </c>
      <c r="N35" s="68">
        <f t="shared" si="0"/>
        <v>178.8939172985724</v>
      </c>
      <c r="O35" s="69">
        <f t="shared" si="1"/>
        <v>102.03481153125</v>
      </c>
      <c r="P35" s="69">
        <f t="shared" si="9"/>
        <v>102.58398022914031</v>
      </c>
      <c r="Q35" s="69">
        <f t="shared" si="10"/>
        <v>88.325014836220447</v>
      </c>
      <c r="R35" s="69">
        <f t="shared" si="11"/>
        <v>67.632946239651048</v>
      </c>
      <c r="S35" s="69">
        <f t="shared" si="12"/>
        <v>66.66406093818081</v>
      </c>
      <c r="T35" s="68">
        <f t="shared" si="13"/>
        <v>86.088169386765571</v>
      </c>
      <c r="U35" s="68">
        <f t="shared" si="14"/>
        <v>55.570826811254321</v>
      </c>
      <c r="V35" s="69">
        <f t="shared" si="15"/>
        <v>85.448162754888529</v>
      </c>
      <c r="W35" s="69">
        <f t="shared" si="16"/>
        <v>15.794010615320838</v>
      </c>
    </row>
    <row r="36" spans="1:23" x14ac:dyDescent="0.3">
      <c r="A36" s="59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65">
        <v>0.59403669724770647</v>
      </c>
      <c r="K36" s="70">
        <f t="shared" si="6"/>
        <v>158.2896177382413</v>
      </c>
      <c r="L36" s="70">
        <f t="shared" si="7"/>
        <v>203.16919942799998</v>
      </c>
      <c r="M36" s="70">
        <f t="shared" si="8"/>
        <v>136.94002650445887</v>
      </c>
      <c r="N36" s="68">
        <f t="shared" si="0"/>
        <v>240.69284895941914</v>
      </c>
      <c r="O36" s="69">
        <f t="shared" si="1"/>
        <v>276.57806648532107</v>
      </c>
      <c r="P36" s="69">
        <f t="shared" si="9"/>
        <v>271.49088315529576</v>
      </c>
      <c r="Q36" s="69">
        <f t="shared" si="10"/>
        <v>280.49740886227426</v>
      </c>
      <c r="R36" s="69">
        <f t="shared" si="11"/>
        <v>248.74018784060303</v>
      </c>
      <c r="S36" s="69">
        <f t="shared" si="12"/>
        <v>244.91905540757671</v>
      </c>
      <c r="T36" s="68">
        <f t="shared" si="13"/>
        <v>184.77292315752982</v>
      </c>
      <c r="U36" s="68">
        <f t="shared" si="14"/>
        <v>40.170924032386154</v>
      </c>
      <c r="V36" s="69">
        <f t="shared" si="15"/>
        <v>264.44512035021415</v>
      </c>
      <c r="W36" s="69">
        <f t="shared" si="16"/>
        <v>14.713526016375747</v>
      </c>
    </row>
    <row r="37" spans="1:23" x14ac:dyDescent="0.3">
      <c r="A37" s="59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65">
        <v>0.52463768115942033</v>
      </c>
      <c r="K37" s="70">
        <f t="shared" si="6"/>
        <v>65.161290026948265</v>
      </c>
      <c r="L37" s="70">
        <f t="shared" si="7"/>
        <v>81.941746176000009</v>
      </c>
      <c r="M37" s="70">
        <f t="shared" si="8"/>
        <v>54.807811820962151</v>
      </c>
      <c r="N37" s="68">
        <f t="shared" si="0"/>
        <v>118.1977344066806</v>
      </c>
      <c r="O37" s="69">
        <f t="shared" si="1"/>
        <v>98.517024500869582</v>
      </c>
      <c r="P37" s="69">
        <f t="shared" si="9"/>
        <v>99.130695973273689</v>
      </c>
      <c r="Q37" s="69">
        <f t="shared" si="10"/>
        <v>114.83186841183492</v>
      </c>
      <c r="R37" s="69">
        <f t="shared" si="11"/>
        <v>105.0896778324378</v>
      </c>
      <c r="S37" s="69">
        <f t="shared" si="12"/>
        <v>104.08723115521806</v>
      </c>
      <c r="T37" s="68">
        <f t="shared" si="13"/>
        <v>80.027145607647753</v>
      </c>
      <c r="U37" s="68">
        <f t="shared" si="14"/>
        <v>24.07108225335778</v>
      </c>
      <c r="V37" s="69">
        <f t="shared" si="15"/>
        <v>104.33129957472681</v>
      </c>
      <c r="W37" s="69">
        <f t="shared" si="16"/>
        <v>5.8608655560751579</v>
      </c>
    </row>
    <row r="38" spans="1:23" x14ac:dyDescent="0.3">
      <c r="A38" s="59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65">
        <v>0.68888888888888888</v>
      </c>
      <c r="K38" s="70">
        <f t="shared" si="6"/>
        <v>37.152565918888499</v>
      </c>
      <c r="L38" s="70">
        <f t="shared" si="7"/>
        <v>45.737704362000002</v>
      </c>
      <c r="M38" s="70">
        <f t="shared" si="8"/>
        <v>30.613762626834301</v>
      </c>
      <c r="N38" s="68">
        <f t="shared" si="0"/>
        <v>74.091144432374918</v>
      </c>
      <c r="O38" s="69">
        <f t="shared" si="1"/>
        <v>72.205475968888891</v>
      </c>
      <c r="P38" s="69">
        <f t="shared" si="9"/>
        <v>73.199074766530771</v>
      </c>
      <c r="Q38" s="69">
        <f t="shared" si="10"/>
        <v>95.249635998215126</v>
      </c>
      <c r="R38" s="69">
        <f t="shared" si="11"/>
        <v>91.40847202854998</v>
      </c>
      <c r="S38" s="69">
        <f t="shared" si="12"/>
        <v>89.07256976204259</v>
      </c>
      <c r="T38" s="68">
        <f t="shared" si="13"/>
        <v>46.898794335024434</v>
      </c>
      <c r="U38" s="68">
        <f t="shared" si="14"/>
        <v>16.590383206986111</v>
      </c>
      <c r="V38" s="69">
        <f t="shared" si="15"/>
        <v>84.227045704845466</v>
      </c>
      <c r="W38" s="69">
        <f t="shared" si="16"/>
        <v>9.6196025504169231</v>
      </c>
    </row>
    <row r="39" spans="1:23" x14ac:dyDescent="0.3">
      <c r="A39" s="59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65">
        <v>0.73076923076923073</v>
      </c>
      <c r="K39" s="70">
        <f t="shared" si="6"/>
        <v>34.713435417794351</v>
      </c>
      <c r="L39" s="70">
        <f t="shared" si="7"/>
        <v>42.460895100000002</v>
      </c>
      <c r="M39" s="70">
        <f t="shared" si="8"/>
        <v>28.496670560193575</v>
      </c>
      <c r="N39" s="68">
        <f t="shared" si="0"/>
        <v>69.475543922911626</v>
      </c>
      <c r="O39" s="69">
        <f t="shared" si="1"/>
        <v>71.107594999999989</v>
      </c>
      <c r="P39" s="69">
        <f t="shared" si="9"/>
        <v>72.112598661352052</v>
      </c>
      <c r="Q39" s="69">
        <f t="shared" si="10"/>
        <v>95.790438943571061</v>
      </c>
      <c r="R39" s="69">
        <f t="shared" si="11"/>
        <v>92.816926830081059</v>
      </c>
      <c r="S39" s="69">
        <f t="shared" si="12"/>
        <v>90.13293882182036</v>
      </c>
      <c r="T39" s="68">
        <f t="shared" si="13"/>
        <v>43.786636250224888</v>
      </c>
      <c r="U39" s="68">
        <f t="shared" si="14"/>
        <v>15.634765677498788</v>
      </c>
      <c r="V39" s="69">
        <f t="shared" si="15"/>
        <v>84.392099651364902</v>
      </c>
      <c r="W39" s="69">
        <f t="shared" si="16"/>
        <v>10.593595181885936</v>
      </c>
    </row>
    <row r="40" spans="1:23" x14ac:dyDescent="0.3">
      <c r="A40" s="59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65">
        <v>0.70329670329670335</v>
      </c>
      <c r="K40" s="70">
        <f t="shared" si="6"/>
        <v>33.939793484914127</v>
      </c>
      <c r="L40" s="70">
        <f t="shared" si="7"/>
        <v>35.916058055999997</v>
      </c>
      <c r="M40" s="70">
        <f t="shared" si="8"/>
        <v>26.549366812988076</v>
      </c>
      <c r="N40" s="68">
        <f t="shared" si="0"/>
        <v>50.85607443045744</v>
      </c>
      <c r="O40" s="69">
        <f t="shared" si="1"/>
        <v>57.886039771428564</v>
      </c>
      <c r="P40" s="69">
        <f t="shared" si="9"/>
        <v>58.994728426745795</v>
      </c>
      <c r="Q40" s="69">
        <f t="shared" si="10"/>
        <v>90.677969765650957</v>
      </c>
      <c r="R40" s="69">
        <f t="shared" si="11"/>
        <v>95.210338038512248</v>
      </c>
      <c r="S40" s="69">
        <f t="shared" si="12"/>
        <v>92.670329423268598</v>
      </c>
      <c r="T40" s="68">
        <f t="shared" si="13"/>
        <v>36.815323196089906</v>
      </c>
      <c r="U40" s="68">
        <f t="shared" si="14"/>
        <v>8.8262379386290561</v>
      </c>
      <c r="V40" s="69">
        <f t="shared" si="15"/>
        <v>79.087881085121225</v>
      </c>
      <c r="W40" s="69">
        <f t="shared" si="16"/>
        <v>16.923353896546136</v>
      </c>
    </row>
    <row r="41" spans="1:23" x14ac:dyDescent="0.3">
      <c r="A41" s="59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65">
        <v>0.6875</v>
      </c>
      <c r="K41" s="70">
        <f t="shared" si="6"/>
        <v>50.828592880773257</v>
      </c>
      <c r="L41" s="70">
        <f t="shared" si="7"/>
        <v>60.9215175</v>
      </c>
      <c r="M41" s="70">
        <f t="shared" si="8"/>
        <v>41.830421473617626</v>
      </c>
      <c r="N41" s="68">
        <f t="shared" si="0"/>
        <v>88.873591177433241</v>
      </c>
      <c r="O41" s="69">
        <f t="shared" si="1"/>
        <v>95.982046874999995</v>
      </c>
      <c r="P41" s="69">
        <f t="shared" si="9"/>
        <v>96.640370624522191</v>
      </c>
      <c r="Q41" s="69">
        <f t="shared" si="10"/>
        <v>124.43735494093484</v>
      </c>
      <c r="R41" s="69">
        <f t="shared" si="11"/>
        <v>120.03590192577725</v>
      </c>
      <c r="S41" s="69">
        <f t="shared" si="12"/>
        <v>117.03540167839209</v>
      </c>
      <c r="T41" s="68">
        <f t="shared" si="13"/>
        <v>60.613530757956035</v>
      </c>
      <c r="U41" s="68">
        <f t="shared" si="14"/>
        <v>17.658397962396684</v>
      </c>
      <c r="V41" s="69">
        <f t="shared" si="15"/>
        <v>110.82621520892528</v>
      </c>
      <c r="W41" s="69">
        <f t="shared" si="16"/>
        <v>12.08489115332203</v>
      </c>
    </row>
    <row r="42" spans="1:23" x14ac:dyDescent="0.3">
      <c r="A42" s="59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22" t="s">
        <v>21</v>
      </c>
      <c r="H42" s="22">
        <v>12.3</v>
      </c>
      <c r="I42" s="22">
        <v>10.199999999999999</v>
      </c>
      <c r="J42" s="65">
        <v>0.72023809523809523</v>
      </c>
      <c r="K42" s="70">
        <f t="shared" si="6"/>
        <v>30.19734714695657</v>
      </c>
      <c r="L42" s="70">
        <f t="shared" si="7"/>
        <v>37.642253094000004</v>
      </c>
      <c r="M42" s="70">
        <f t="shared" si="8"/>
        <v>24.860528731605626</v>
      </c>
      <c r="N42" s="68">
        <f t="shared" si="0"/>
        <v>64.998598185869355</v>
      </c>
      <c r="O42" s="69">
        <f t="shared" si="1"/>
        <v>62.129561882142852</v>
      </c>
      <c r="P42" s="69">
        <f t="shared" si="9"/>
        <v>63.212107769748243</v>
      </c>
      <c r="Q42" s="69">
        <f t="shared" si="10"/>
        <v>83.631770709542266</v>
      </c>
      <c r="R42" s="69">
        <f t="shared" si="11"/>
        <v>80.448703392638777</v>
      </c>
      <c r="S42" s="69">
        <f t="shared" si="12"/>
        <v>78.170703096145047</v>
      </c>
      <c r="T42" s="68">
        <f t="shared" si="13"/>
        <v>39.424681789607888</v>
      </c>
      <c r="U42" s="68">
        <f t="shared" si="14"/>
        <v>15.447172158701791</v>
      </c>
      <c r="V42" s="69">
        <f t="shared" si="15"/>
        <v>73.518569370043423</v>
      </c>
      <c r="W42" s="69">
        <f t="shared" si="16"/>
        <v>9.0319276944374707</v>
      </c>
    </row>
    <row r="43" spans="1:23" x14ac:dyDescent="0.3">
      <c r="A43" s="59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22" t="s">
        <v>21</v>
      </c>
      <c r="H43" s="22">
        <v>14.5</v>
      </c>
      <c r="I43" s="22">
        <v>11.2</v>
      </c>
      <c r="J43" s="65">
        <v>0.73195876288659789</v>
      </c>
      <c r="K43" s="70">
        <f t="shared" si="6"/>
        <v>46.9660328480659</v>
      </c>
      <c r="L43" s="70">
        <f t="shared" si="7"/>
        <v>57.440636399999995</v>
      </c>
      <c r="M43" s="70">
        <f t="shared" si="8"/>
        <v>38.835484820700586</v>
      </c>
      <c r="N43" s="68">
        <f t="shared" si="0"/>
        <v>87.246067895806874</v>
      </c>
      <c r="O43" s="69">
        <f t="shared" si="1"/>
        <v>96.350162061855656</v>
      </c>
      <c r="P43" s="69">
        <f t="shared" si="9"/>
        <v>97.002098660440055</v>
      </c>
      <c r="Q43" s="69">
        <f t="shared" si="10"/>
        <v>124.31352956330909</v>
      </c>
      <c r="R43" s="69">
        <f t="shared" si="11"/>
        <v>119.33320520611613</v>
      </c>
      <c r="S43" s="69">
        <f t="shared" si="12"/>
        <v>115.91977590241227</v>
      </c>
      <c r="T43" s="68">
        <f t="shared" si="13"/>
        <v>57.622055491143335</v>
      </c>
      <c r="U43" s="68">
        <f t="shared" si="14"/>
        <v>18.330992062376286</v>
      </c>
      <c r="V43" s="69">
        <f t="shared" si="15"/>
        <v>110.58375427882663</v>
      </c>
      <c r="W43" s="69">
        <f t="shared" si="16"/>
        <v>11.66695559599234</v>
      </c>
    </row>
    <row r="44" spans="1:23" x14ac:dyDescent="0.3">
      <c r="A44" s="59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22" t="s">
        <v>21</v>
      </c>
      <c r="H44" s="22">
        <v>12.9</v>
      </c>
      <c r="I44" s="22">
        <v>17</v>
      </c>
      <c r="J44" s="65">
        <v>0.6785714285714286</v>
      </c>
      <c r="K44" s="70">
        <f t="shared" si="6"/>
        <v>42.119596727585318</v>
      </c>
      <c r="L44" s="70">
        <f t="shared" si="7"/>
        <v>69.007065209999993</v>
      </c>
      <c r="M44" s="70">
        <f t="shared" si="8"/>
        <v>38.247020812811009</v>
      </c>
      <c r="N44" s="68">
        <f t="shared" si="0"/>
        <v>145.75417804492005</v>
      </c>
      <c r="O44" s="69">
        <f t="shared" si="1"/>
        <v>107.30889417857144</v>
      </c>
      <c r="P44" s="69">
        <f t="shared" si="9"/>
        <v>107.75603481641892</v>
      </c>
      <c r="Q44" s="69">
        <f t="shared" si="10"/>
        <v>103.17418609997182</v>
      </c>
      <c r="R44" s="69">
        <f t="shared" si="11"/>
        <v>83.793179307271203</v>
      </c>
      <c r="S44" s="69">
        <f t="shared" si="12"/>
        <v>81.712785857444686</v>
      </c>
      <c r="T44" s="68">
        <f t="shared" si="13"/>
        <v>73.781965198829084</v>
      </c>
      <c r="U44" s="68">
        <f t="shared" si="14"/>
        <v>43.208902270228286</v>
      </c>
      <c r="V44" s="69">
        <f t="shared" si="15"/>
        <v>96.749016051935612</v>
      </c>
      <c r="W44" s="69">
        <f t="shared" si="16"/>
        <v>11.557596830599159</v>
      </c>
    </row>
    <row r="45" spans="1:23" x14ac:dyDescent="0.3">
      <c r="A45" s="59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22" t="s">
        <v>21</v>
      </c>
      <c r="H45" s="22">
        <v>17</v>
      </c>
      <c r="I45" s="22">
        <v>15.3</v>
      </c>
      <c r="J45" s="65">
        <v>0.70670391061452509</v>
      </c>
      <c r="K45" s="70">
        <f t="shared" si="6"/>
        <v>79.06057387607143</v>
      </c>
      <c r="L45" s="70">
        <f t="shared" si="7"/>
        <v>107.8585281</v>
      </c>
      <c r="M45" s="70">
        <f t="shared" si="8"/>
        <v>68.625843974491588</v>
      </c>
      <c r="N45" s="68">
        <f t="shared" si="0"/>
        <v>161.43154858344235</v>
      </c>
      <c r="O45" s="69">
        <f t="shared" si="1"/>
        <v>174.67814689944134</v>
      </c>
      <c r="P45" s="69">
        <f t="shared" si="9"/>
        <v>173.36682268688386</v>
      </c>
      <c r="Q45" s="69">
        <f t="shared" si="10"/>
        <v>186.17304126747507</v>
      </c>
      <c r="R45" s="69">
        <f t="shared" si="11"/>
        <v>164.8693483076996</v>
      </c>
      <c r="S45" s="69">
        <f t="shared" si="12"/>
        <v>160.57183880415741</v>
      </c>
      <c r="T45" s="68">
        <f t="shared" si="13"/>
        <v>104.24412363350135</v>
      </c>
      <c r="U45" s="68">
        <f t="shared" si="14"/>
        <v>36.008118932766237</v>
      </c>
      <c r="V45" s="69">
        <f t="shared" si="15"/>
        <v>171.93183959313146</v>
      </c>
      <c r="W45" s="69">
        <f t="shared" si="16"/>
        <v>8.8469385271026457</v>
      </c>
    </row>
    <row r="46" spans="1:23" x14ac:dyDescent="0.3">
      <c r="A46" s="59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22" t="s">
        <v>21</v>
      </c>
      <c r="H46" s="22">
        <v>23.5</v>
      </c>
      <c r="I46" s="22">
        <v>16.600000000000001</v>
      </c>
      <c r="J46" s="65">
        <v>0.68503937007874016</v>
      </c>
      <c r="K46" s="70">
        <f t="shared" si="6"/>
        <v>180.52803799623268</v>
      </c>
      <c r="L46" s="70">
        <f t="shared" si="7"/>
        <v>223.61916855000001</v>
      </c>
      <c r="M46" s="70">
        <f t="shared" si="8"/>
        <v>154.85149999135882</v>
      </c>
      <c r="N46" s="68">
        <f t="shared" si="0"/>
        <v>247.22096916355756</v>
      </c>
      <c r="O46" s="69">
        <f t="shared" si="1"/>
        <v>351.05175791338587</v>
      </c>
      <c r="P46" s="69">
        <f t="shared" si="9"/>
        <v>342.62842052046557</v>
      </c>
      <c r="Q46" s="69">
        <f t="shared" si="10"/>
        <v>366.52302989704026</v>
      </c>
      <c r="R46" s="69">
        <f t="shared" si="11"/>
        <v>333.34832118631141</v>
      </c>
      <c r="S46" s="69">
        <f t="shared" si="12"/>
        <v>325.6373319832519</v>
      </c>
      <c r="T46" s="68">
        <f t="shared" si="13"/>
        <v>201.55491892528727</v>
      </c>
      <c r="U46" s="68">
        <f t="shared" si="14"/>
        <v>36.040110701787867</v>
      </c>
      <c r="V46" s="69">
        <f t="shared" si="15"/>
        <v>343.83777230009099</v>
      </c>
      <c r="W46" s="69">
        <f t="shared" si="16"/>
        <v>14.208516071644125</v>
      </c>
    </row>
    <row r="47" spans="1:23" x14ac:dyDescent="0.3">
      <c r="A47" s="59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22" t="s">
        <v>21</v>
      </c>
      <c r="H47" s="22">
        <v>20.2</v>
      </c>
      <c r="I47" s="22">
        <v>16.2</v>
      </c>
      <c r="J47" s="65">
        <v>0.69020501138952162</v>
      </c>
      <c r="K47" s="70">
        <f t="shared" si="6"/>
        <v>123.44929896716387</v>
      </c>
      <c r="L47" s="70">
        <f t="shared" si="7"/>
        <v>161.24377946399997</v>
      </c>
      <c r="M47" s="70">
        <f t="shared" si="8"/>
        <v>106.77293861298487</v>
      </c>
      <c r="N47" s="68">
        <f t="shared" si="0"/>
        <v>206.76636269391966</v>
      </c>
      <c r="O47" s="69">
        <f t="shared" si="1"/>
        <v>255.03962995353069</v>
      </c>
      <c r="P47" s="69">
        <f t="shared" si="9"/>
        <v>250.83620713645789</v>
      </c>
      <c r="Q47" s="69">
        <f t="shared" si="10"/>
        <v>266.28801370515157</v>
      </c>
      <c r="R47" s="69">
        <f t="shared" si="11"/>
        <v>237.96596577153596</v>
      </c>
      <c r="S47" s="69">
        <f t="shared" si="12"/>
        <v>232.2280887061859</v>
      </c>
      <c r="T47" s="68">
        <f t="shared" si="13"/>
        <v>149.5580949345171</v>
      </c>
      <c r="U47" s="68">
        <f t="shared" si="14"/>
        <v>38.475901390600697</v>
      </c>
      <c r="V47" s="69">
        <f t="shared" si="15"/>
        <v>248.47158105457243</v>
      </c>
      <c r="W47" s="69">
        <f t="shared" si="16"/>
        <v>12.168607080402616</v>
      </c>
    </row>
    <row r="48" spans="1:23" x14ac:dyDescent="0.3">
      <c r="A48" s="59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22" t="s">
        <v>57</v>
      </c>
      <c r="H48" s="22">
        <v>13.8</v>
      </c>
      <c r="I48" s="22">
        <v>12.1</v>
      </c>
      <c r="J48" s="65">
        <v>0.31835205992509363</v>
      </c>
      <c r="K48" s="70">
        <f t="shared" si="6"/>
        <v>43.002925492778104</v>
      </c>
      <c r="L48" s="70">
        <f t="shared" si="7"/>
        <v>56.209375332000008</v>
      </c>
      <c r="M48" s="70">
        <f t="shared" si="8"/>
        <v>36.26830976686135</v>
      </c>
      <c r="N48" s="68">
        <f t="shared" si="0"/>
        <v>93.468464691857704</v>
      </c>
      <c r="O48" s="69">
        <f t="shared" si="1"/>
        <v>41.007473730337082</v>
      </c>
      <c r="P48" s="69">
        <f t="shared" si="9"/>
        <v>42.140088438094011</v>
      </c>
      <c r="Q48" s="69">
        <f t="shared" si="10"/>
        <v>46.899601634965528</v>
      </c>
      <c r="R48" s="69">
        <f t="shared" si="11"/>
        <v>41.182907571165913</v>
      </c>
      <c r="S48" s="69">
        <f t="shared" si="12"/>
        <v>41.944761815942265</v>
      </c>
      <c r="T48" s="68">
        <f t="shared" si="13"/>
        <v>57.237268820874291</v>
      </c>
      <c r="U48" s="68">
        <f t="shared" si="14"/>
        <v>22.113739468128312</v>
      </c>
      <c r="V48" s="69">
        <f t="shared" si="15"/>
        <v>42.634966638100956</v>
      </c>
      <c r="W48" s="69">
        <f t="shared" si="16"/>
        <v>2.175573831638232</v>
      </c>
    </row>
    <row r="49" spans="1:23" x14ac:dyDescent="0.3">
      <c r="A49" s="59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22" t="s">
        <v>57</v>
      </c>
      <c r="H49" s="22">
        <v>17.2</v>
      </c>
      <c r="I49" s="22">
        <v>13.7</v>
      </c>
      <c r="J49" s="65">
        <v>0.31879194630872482</v>
      </c>
      <c r="K49" s="70">
        <f t="shared" si="6"/>
        <v>77.633738041434995</v>
      </c>
      <c r="L49" s="70">
        <f t="shared" si="7"/>
        <v>98.865024143999989</v>
      </c>
      <c r="M49" s="70">
        <f t="shared" si="8"/>
        <v>65.847807327151841</v>
      </c>
      <c r="N49" s="68">
        <f t="shared" si="0"/>
        <v>138.39907622445651</v>
      </c>
      <c r="O49" s="69">
        <f t="shared" si="1"/>
        <v>72.226506657718105</v>
      </c>
      <c r="P49" s="69">
        <f t="shared" si="9"/>
        <v>73.219883097835918</v>
      </c>
      <c r="Q49" s="69">
        <f t="shared" si="10"/>
        <v>77.978185173516053</v>
      </c>
      <c r="R49" s="69">
        <f t="shared" si="11"/>
        <v>68.215672566693783</v>
      </c>
      <c r="S49" s="69">
        <f t="shared" si="12"/>
        <v>69.530302497604879</v>
      </c>
      <c r="T49" s="68">
        <f t="shared" si="13"/>
        <v>95.186411434260833</v>
      </c>
      <c r="U49" s="68">
        <f t="shared" si="14"/>
        <v>27.612119729961684</v>
      </c>
      <c r="V49" s="69">
        <f t="shared" si="15"/>
        <v>72.234109998673759</v>
      </c>
      <c r="W49" s="69">
        <f t="shared" si="16"/>
        <v>3.3889414402033906</v>
      </c>
    </row>
    <row r="50" spans="1:23" x14ac:dyDescent="0.3">
      <c r="A50" s="59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22" t="s">
        <v>57</v>
      </c>
      <c r="H50" s="22">
        <v>10.9</v>
      </c>
      <c r="I50" s="22">
        <v>9.6999999999999993</v>
      </c>
      <c r="J50" s="65">
        <v>0.37037037037037035</v>
      </c>
      <c r="K50" s="70">
        <f t="shared" si="6"/>
        <v>22.003830290027128</v>
      </c>
      <c r="L50" s="70">
        <f t="shared" si="7"/>
        <v>28.111883600999999</v>
      </c>
      <c r="M50" s="70">
        <f t="shared" si="8"/>
        <v>18.123501887929706</v>
      </c>
      <c r="N50" s="68">
        <f t="shared" si="0"/>
        <v>53.823031034736417</v>
      </c>
      <c r="O50" s="69">
        <f t="shared" si="1"/>
        <v>23.860128259259252</v>
      </c>
      <c r="P50" s="69">
        <f t="shared" si="9"/>
        <v>24.839895647112268</v>
      </c>
      <c r="Q50" s="69">
        <f t="shared" si="10"/>
        <v>31.127140603422095</v>
      </c>
      <c r="R50" s="69">
        <f t="shared" si="11"/>
        <v>28.560342029307584</v>
      </c>
      <c r="S50" s="69">
        <f t="shared" si="12"/>
        <v>28.812550920286302</v>
      </c>
      <c r="T50" s="68">
        <f t="shared" si="13"/>
        <v>30.515561703423312</v>
      </c>
      <c r="U50" s="68">
        <f t="shared" si="14"/>
        <v>13.919666960587975</v>
      </c>
      <c r="V50" s="69">
        <f t="shared" si="15"/>
        <v>27.440011491877499</v>
      </c>
      <c r="W50" s="69">
        <f t="shared" si="16"/>
        <v>2.6948132568404541</v>
      </c>
    </row>
    <row r="51" spans="1:23" x14ac:dyDescent="0.3">
      <c r="A51" s="59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22" t="s">
        <v>57</v>
      </c>
      <c r="H51" s="22">
        <v>19.899999999999999</v>
      </c>
      <c r="I51" s="22">
        <v>14.3</v>
      </c>
      <c r="J51" s="65">
        <v>0.3423180592991914</v>
      </c>
      <c r="K51" s="70">
        <f t="shared" si="6"/>
        <v>112.89134874571656</v>
      </c>
      <c r="L51" s="70">
        <f t="shared" si="7"/>
        <v>138.136168599</v>
      </c>
      <c r="M51" s="70">
        <f t="shared" si="8"/>
        <v>95.359168078741632</v>
      </c>
      <c r="N51" s="68">
        <f t="shared" si="0"/>
        <v>169.22672440316123</v>
      </c>
      <c r="O51" s="69">
        <f t="shared" si="1"/>
        <v>108.36369606442048</v>
      </c>
      <c r="P51" s="69">
        <f t="shared" si="9"/>
        <v>108.78968964689754</v>
      </c>
      <c r="Q51" s="69">
        <f t="shared" si="10"/>
        <v>116.2039395827758</v>
      </c>
      <c r="R51" s="69">
        <f t="shared" si="11"/>
        <v>103.23972456726742</v>
      </c>
      <c r="S51" s="69">
        <f t="shared" si="12"/>
        <v>104.86045823221536</v>
      </c>
      <c r="T51" s="68">
        <f t="shared" si="13"/>
        <v>128.90335245665486</v>
      </c>
      <c r="U51" s="68">
        <f t="shared" si="14"/>
        <v>27.806545036525051</v>
      </c>
      <c r="V51" s="69">
        <f t="shared" si="15"/>
        <v>108.29150161871533</v>
      </c>
      <c r="W51" s="69">
        <f t="shared" si="16"/>
        <v>4.4755466254324983</v>
      </c>
    </row>
    <row r="52" spans="1:23" x14ac:dyDescent="0.3">
      <c r="A52" s="59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22" t="s">
        <v>57</v>
      </c>
      <c r="H52" s="22">
        <v>21.1</v>
      </c>
      <c r="I52" s="22">
        <v>9.6999999999999993</v>
      </c>
      <c r="J52" s="65">
        <v>0.38653366583541149</v>
      </c>
      <c r="K52" s="70">
        <f t="shared" si="6"/>
        <v>110.50692931688381</v>
      </c>
      <c r="L52" s="70">
        <f t="shared" si="7"/>
        <v>105.34207304100001</v>
      </c>
      <c r="M52" s="70">
        <f t="shared" si="8"/>
        <v>85.933562742428506</v>
      </c>
      <c r="N52" s="68">
        <f t="shared" si="0"/>
        <v>100.15540479617648</v>
      </c>
      <c r="O52" s="69">
        <f t="shared" si="1"/>
        <v>93.311630514962602</v>
      </c>
      <c r="P52" s="69">
        <f t="shared" si="9"/>
        <v>94.015283361740316</v>
      </c>
      <c r="Q52" s="69">
        <f t="shared" si="10"/>
        <v>131.33631326442898</v>
      </c>
      <c r="R52" s="69">
        <f t="shared" si="11"/>
        <v>135.57730021865962</v>
      </c>
      <c r="S52" s="69">
        <f t="shared" si="12"/>
        <v>136.78424355353144</v>
      </c>
      <c r="T52" s="68">
        <f t="shared" si="13"/>
        <v>100.48449247412221</v>
      </c>
      <c r="U52" s="68">
        <f t="shared" si="14"/>
        <v>9.1635580424215881</v>
      </c>
      <c r="V52" s="69">
        <f t="shared" si="15"/>
        <v>118.20495418266459</v>
      </c>
      <c r="W52" s="69">
        <f t="shared" si="16"/>
        <v>20.12082865741187</v>
      </c>
    </row>
    <row r="53" spans="1:23" x14ac:dyDescent="0.3">
      <c r="A53" s="59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22" t="s">
        <v>57</v>
      </c>
      <c r="H53" s="22">
        <v>17.7</v>
      </c>
      <c r="I53" s="22">
        <v>9</v>
      </c>
      <c r="J53" s="65">
        <v>0.39117647058823529</v>
      </c>
      <c r="K53" s="70">
        <f t="shared" si="6"/>
        <v>69.688248904067009</v>
      </c>
      <c r="L53" s="70">
        <f t="shared" si="7"/>
        <v>68.778746729999995</v>
      </c>
      <c r="M53" s="70">
        <f t="shared" si="8"/>
        <v>54.208733602971421</v>
      </c>
      <c r="N53" s="68">
        <f t="shared" si="0"/>
        <v>75.919625503958201</v>
      </c>
      <c r="O53" s="69">
        <f t="shared" si="1"/>
        <v>61.655748432352929</v>
      </c>
      <c r="P53" s="69">
        <f t="shared" si="9"/>
        <v>62.741565081542355</v>
      </c>
      <c r="Q53" s="69">
        <f t="shared" si="10"/>
        <v>89.515279084309725</v>
      </c>
      <c r="R53" s="69">
        <f t="shared" si="11"/>
        <v>92.003378499698997</v>
      </c>
      <c r="S53" s="69">
        <f t="shared" si="12"/>
        <v>92.697240528956769</v>
      </c>
      <c r="T53" s="68">
        <f t="shared" si="13"/>
        <v>67.14883868524916</v>
      </c>
      <c r="U53" s="68">
        <f t="shared" si="14"/>
        <v>7.9604997558791419</v>
      </c>
      <c r="V53" s="69">
        <f t="shared" si="15"/>
        <v>79.722642325372163</v>
      </c>
      <c r="W53" s="69">
        <f t="shared" si="16"/>
        <v>14.351460229000406</v>
      </c>
    </row>
    <row r="54" spans="1:23" x14ac:dyDescent="0.3">
      <c r="A54" s="59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22" t="s">
        <v>60</v>
      </c>
      <c r="H54" s="22">
        <v>10.8</v>
      </c>
      <c r="I54" s="22">
        <v>6.5</v>
      </c>
      <c r="J54" s="65">
        <v>0.59210526315789469</v>
      </c>
      <c r="K54" s="70">
        <f t="shared" si="6"/>
        <v>18.158141890477101</v>
      </c>
      <c r="L54" s="70">
        <f t="shared" si="7"/>
        <v>18.493796880000001</v>
      </c>
      <c r="M54" s="70">
        <f t="shared" si="8"/>
        <v>13.816241282813392</v>
      </c>
      <c r="N54" s="68">
        <f t="shared" si="0"/>
        <v>29.349172169772711</v>
      </c>
      <c r="O54" s="69">
        <f t="shared" si="1"/>
        <v>25.094098421052635</v>
      </c>
      <c r="P54" s="69">
        <f t="shared" si="9"/>
        <v>26.092940166729182</v>
      </c>
      <c r="Q54" s="69">
        <f t="shared" si="10"/>
        <v>44.160502331098371</v>
      </c>
      <c r="R54" s="69">
        <f t="shared" si="11"/>
        <v>47.790074008403515</v>
      </c>
      <c r="S54" s="69">
        <f t="shared" si="12"/>
        <v>46.935986409983876</v>
      </c>
      <c r="T54" s="68">
        <f t="shared" si="13"/>
        <v>19.954338055765803</v>
      </c>
      <c r="U54" s="68">
        <f t="shared" si="14"/>
        <v>5.7292809586836846</v>
      </c>
      <c r="V54" s="69">
        <f t="shared" si="15"/>
        <v>38.014720267453512</v>
      </c>
      <c r="W54" s="69">
        <f t="shared" si="16"/>
        <v>10.217519045131272</v>
      </c>
    </row>
    <row r="55" spans="1:23" x14ac:dyDescent="0.3">
      <c r="A55" s="59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22" t="s">
        <v>60</v>
      </c>
      <c r="H55" s="29">
        <f>SQRT(19.2^2+19.6^2)</f>
        <v>27.437201023428027</v>
      </c>
      <c r="I55" s="22">
        <v>9.1</v>
      </c>
      <c r="J55" s="65">
        <v>0.59826589595375723</v>
      </c>
      <c r="K55" s="70">
        <f t="shared" si="6"/>
        <v>204.32692217667994</v>
      </c>
      <c r="L55" s="70">
        <f t="shared" si="7"/>
        <v>167.10375864</v>
      </c>
      <c r="M55" s="70">
        <f t="shared" si="8"/>
        <v>153.32886477524974</v>
      </c>
      <c r="N55" s="68">
        <f t="shared" si="0"/>
        <v>116.54812705121343</v>
      </c>
      <c r="O55" s="69">
        <f t="shared" si="1"/>
        <v>229.10103821965313</v>
      </c>
      <c r="P55" s="69">
        <f t="shared" si="9"/>
        <v>225.90588651477634</v>
      </c>
      <c r="Q55" s="69">
        <f t="shared" si="10"/>
        <v>358.04026274085197</v>
      </c>
      <c r="R55" s="69">
        <f t="shared" si="11"/>
        <v>406.8001034838511</v>
      </c>
      <c r="S55" s="69">
        <f t="shared" si="12"/>
        <v>400.71103186179079</v>
      </c>
      <c r="T55" s="68">
        <f t="shared" si="13"/>
        <v>160.32691816078577</v>
      </c>
      <c r="U55" s="68">
        <f t="shared" si="14"/>
        <v>31.414491968205656</v>
      </c>
      <c r="V55" s="69">
        <f t="shared" si="15"/>
        <v>324.11166456418471</v>
      </c>
      <c r="W55" s="69">
        <f t="shared" si="16"/>
        <v>80.656536915824248</v>
      </c>
    </row>
    <row r="56" spans="1:23" x14ac:dyDescent="0.3">
      <c r="A56" s="59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22" t="s">
        <v>60</v>
      </c>
      <c r="H56" s="22">
        <v>24.3</v>
      </c>
      <c r="I56" s="22">
        <v>10.1</v>
      </c>
      <c r="J56" s="65">
        <v>0.57894736842105265</v>
      </c>
      <c r="K56" s="70">
        <f t="shared" si="6"/>
        <v>158.73017425291636</v>
      </c>
      <c r="L56" s="70">
        <f t="shared" si="7"/>
        <v>145.47860795700001</v>
      </c>
      <c r="M56" s="70">
        <f t="shared" si="8"/>
        <v>122.91496474508597</v>
      </c>
      <c r="N56" s="68">
        <f t="shared" si="0"/>
        <v>121.48913357677657</v>
      </c>
      <c r="O56" s="69">
        <f t="shared" si="1"/>
        <v>193.0122231631579</v>
      </c>
      <c r="P56" s="69">
        <f t="shared" si="9"/>
        <v>191.10494163438921</v>
      </c>
      <c r="Q56" s="69">
        <f t="shared" si="10"/>
        <v>277.14464986903852</v>
      </c>
      <c r="R56" s="69">
        <f t="shared" si="11"/>
        <v>296.92468251554982</v>
      </c>
      <c r="S56" s="69">
        <f t="shared" si="12"/>
        <v>292.89376549939578</v>
      </c>
      <c r="T56" s="68">
        <f t="shared" si="13"/>
        <v>137.15322013294474</v>
      </c>
      <c r="U56" s="68">
        <f t="shared" si="14"/>
        <v>15.676164674796013</v>
      </c>
      <c r="V56" s="69">
        <f t="shared" si="15"/>
        <v>250.21605253630628</v>
      </c>
      <c r="W56" s="69">
        <f t="shared" si="16"/>
        <v>47.947125418771748</v>
      </c>
    </row>
    <row r="57" spans="1:23" x14ac:dyDescent="0.3">
      <c r="A57" s="59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22" t="s">
        <v>60</v>
      </c>
      <c r="H57" s="22">
        <v>16.2</v>
      </c>
      <c r="I57" s="22">
        <v>7.2</v>
      </c>
      <c r="J57" s="65">
        <v>0.56907894736842102</v>
      </c>
      <c r="K57" s="70">
        <f t="shared" si="6"/>
        <v>51.067085937229116</v>
      </c>
      <c r="L57" s="70">
        <f t="shared" si="7"/>
        <v>46.092232224</v>
      </c>
      <c r="M57" s="70">
        <f t="shared" si="8"/>
        <v>38.283829448158883</v>
      </c>
      <c r="N57" s="68">
        <f t="shared" si="0"/>
        <v>50.059561221684163</v>
      </c>
      <c r="O57" s="69">
        <f t="shared" si="1"/>
        <v>60.110017294736842</v>
      </c>
      <c r="P57" s="69">
        <f t="shared" si="9"/>
        <v>61.205897152228495</v>
      </c>
      <c r="Q57" s="69">
        <f t="shared" si="10"/>
        <v>103.07093936171739</v>
      </c>
      <c r="R57" s="69">
        <f t="shared" si="11"/>
        <v>115.31640196263254</v>
      </c>
      <c r="S57" s="69">
        <f t="shared" si="12"/>
        <v>113.68733969702214</v>
      </c>
      <c r="T57" s="68">
        <f t="shared" si="13"/>
        <v>46.375677207768042</v>
      </c>
      <c r="U57" s="68">
        <f t="shared" si="14"/>
        <v>5.0283858871004652</v>
      </c>
      <c r="V57" s="69">
        <f t="shared" si="15"/>
        <v>90.67811909366749</v>
      </c>
      <c r="W57" s="69">
        <f t="shared" si="16"/>
        <v>24.871959808010232</v>
      </c>
    </row>
    <row r="58" spans="1:23" x14ac:dyDescent="0.3">
      <c r="A58" s="59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22" t="s">
        <v>60</v>
      </c>
      <c r="H58" s="29">
        <f>SQRT(6.7^2+13^2)</f>
        <v>14.624978632463023</v>
      </c>
      <c r="I58" s="22">
        <v>7.9</v>
      </c>
      <c r="J58" s="65">
        <v>0.6045454545454545</v>
      </c>
      <c r="K58" s="70">
        <f t="shared" si="6"/>
        <v>41.369152616944206</v>
      </c>
      <c r="L58" s="70">
        <f t="shared" si="7"/>
        <v>41.217608283000004</v>
      </c>
      <c r="M58" s="70">
        <f t="shared" si="8"/>
        <v>31.876969078057755</v>
      </c>
      <c r="N58" s="68">
        <f t="shared" si="0"/>
        <v>52.226583023889077</v>
      </c>
      <c r="O58" s="69">
        <f t="shared" si="1"/>
        <v>57.102923025909085</v>
      </c>
      <c r="P58" s="69">
        <f t="shared" si="9"/>
        <v>58.215640413163335</v>
      </c>
      <c r="Q58" s="69">
        <f t="shared" si="10"/>
        <v>91.493208785298734</v>
      </c>
      <c r="R58" s="69">
        <f t="shared" si="11"/>
        <v>97.817129868197327</v>
      </c>
      <c r="S58" s="69">
        <f t="shared" si="12"/>
        <v>96.065599760983474</v>
      </c>
      <c r="T58" s="68">
        <f t="shared" si="13"/>
        <v>41.67257825047276</v>
      </c>
      <c r="U58" s="68">
        <f t="shared" si="14"/>
        <v>7.2048601756449857</v>
      </c>
      <c r="V58" s="69">
        <f t="shared" si="15"/>
        <v>80.138900370710388</v>
      </c>
      <c r="W58" s="69">
        <f t="shared" si="16"/>
        <v>18.473686424771412</v>
      </c>
    </row>
    <row r="59" spans="1:23" x14ac:dyDescent="0.3">
      <c r="A59" s="59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22" t="s">
        <v>21</v>
      </c>
      <c r="H59" s="22">
        <v>10.6</v>
      </c>
      <c r="I59" s="22">
        <v>9.8000000000000007</v>
      </c>
      <c r="J59" s="65">
        <v>0.6863636363636364</v>
      </c>
      <c r="K59" s="70">
        <f t="shared" si="6"/>
        <v>20.642872684543146</v>
      </c>
      <c r="L59" s="70">
        <f t="shared" si="7"/>
        <v>26.859815304000005</v>
      </c>
      <c r="M59" s="70">
        <f t="shared" si="8"/>
        <v>17.078903137102643</v>
      </c>
      <c r="N59" s="68">
        <f t="shared" si="0"/>
        <v>53.238212471285358</v>
      </c>
      <c r="O59" s="69">
        <f t="shared" si="1"/>
        <v>42.247778796363647</v>
      </c>
      <c r="P59" s="69">
        <f t="shared" si="9"/>
        <v>43.383613980599669</v>
      </c>
      <c r="Q59" s="69">
        <f t="shared" si="10"/>
        <v>57.230413997377696</v>
      </c>
      <c r="R59" s="69">
        <f t="shared" si="11"/>
        <v>54.208406087823832</v>
      </c>
      <c r="S59" s="69">
        <f t="shared" si="12"/>
        <v>52.788675561673543</v>
      </c>
      <c r="T59" s="68">
        <f t="shared" si="13"/>
        <v>29.454950899232784</v>
      </c>
      <c r="U59" s="68">
        <f t="shared" si="14"/>
        <v>14.17036997077575</v>
      </c>
      <c r="V59" s="69">
        <f t="shared" si="15"/>
        <v>49.971777684767673</v>
      </c>
      <c r="W59" s="69">
        <f t="shared" si="16"/>
        <v>6.0272015863785988</v>
      </c>
    </row>
    <row r="60" spans="1:23" x14ac:dyDescent="0.3">
      <c r="A60" s="59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22" t="s">
        <v>21</v>
      </c>
      <c r="H60" s="22">
        <v>31.8</v>
      </c>
      <c r="I60" s="22">
        <v>12.6</v>
      </c>
      <c r="J60" s="65">
        <v>0.62278481012658227</v>
      </c>
      <c r="K60" s="70">
        <f t="shared" si="6"/>
        <v>336.34194402604152</v>
      </c>
      <c r="L60" s="70">
        <f t="shared" si="7"/>
        <v>310.80643423200002</v>
      </c>
      <c r="M60" s="70">
        <f t="shared" si="8"/>
        <v>265.9304980493032</v>
      </c>
      <c r="N60" s="68">
        <f t="shared" si="0"/>
        <v>217.66906133001171</v>
      </c>
      <c r="O60" s="69">
        <f t="shared" si="1"/>
        <v>443.58270449012656</v>
      </c>
      <c r="P60" s="69">
        <f t="shared" si="9"/>
        <v>430.51506535806618</v>
      </c>
      <c r="Q60" s="69">
        <f t="shared" si="10"/>
        <v>570.15763977128711</v>
      </c>
      <c r="R60" s="69">
        <f t="shared" si="11"/>
        <v>596.6117782791431</v>
      </c>
      <c r="S60" s="69">
        <f t="shared" si="12"/>
        <v>586.66416350348584</v>
      </c>
      <c r="T60" s="68">
        <f t="shared" si="13"/>
        <v>282.68698440933912</v>
      </c>
      <c r="U60" s="68">
        <f t="shared" si="14"/>
        <v>45.215230582411465</v>
      </c>
      <c r="V60" s="69">
        <f t="shared" si="15"/>
        <v>525.50627028042175</v>
      </c>
      <c r="W60" s="69">
        <f t="shared" si="16"/>
        <v>72.835191512135879</v>
      </c>
    </row>
    <row r="61" spans="1:23" x14ac:dyDescent="0.3">
      <c r="A61" s="59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22" t="s">
        <v>21</v>
      </c>
      <c r="H61" s="22">
        <v>30.5</v>
      </c>
      <c r="I61" s="22">
        <v>13.2</v>
      </c>
      <c r="J61" s="65">
        <v>0.72512647554806076</v>
      </c>
      <c r="K61" s="70">
        <f t="shared" si="6"/>
        <v>309.77604084621089</v>
      </c>
      <c r="L61" s="70">
        <f t="shared" si="7"/>
        <v>299.52896490000001</v>
      </c>
      <c r="M61" s="70">
        <f t="shared" si="8"/>
        <v>248.11545841210679</v>
      </c>
      <c r="N61" s="68">
        <f t="shared" si="0"/>
        <v>224.34751919658433</v>
      </c>
      <c r="O61" s="69">
        <f t="shared" si="1"/>
        <v>497.73614519392913</v>
      </c>
      <c r="P61" s="69">
        <f t="shared" si="9"/>
        <v>481.73959080859117</v>
      </c>
      <c r="Q61" s="69">
        <f t="shared" si="10"/>
        <v>624.85481485633954</v>
      </c>
      <c r="R61" s="69">
        <f t="shared" si="11"/>
        <v>645.28356410513345</v>
      </c>
      <c r="S61" s="69">
        <f t="shared" si="12"/>
        <v>628.93611189077774</v>
      </c>
      <c r="T61" s="68">
        <f t="shared" si="13"/>
        <v>270.44199583872552</v>
      </c>
      <c r="U61" s="68">
        <f t="shared" si="14"/>
        <v>35.413252873033031</v>
      </c>
      <c r="V61" s="69">
        <f t="shared" si="15"/>
        <v>575.71004537095428</v>
      </c>
      <c r="W61" s="69">
        <f t="shared" si="16"/>
        <v>70.709366385894441</v>
      </c>
    </row>
    <row r="62" spans="1:23" x14ac:dyDescent="0.3">
      <c r="A62" s="59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22" t="s">
        <v>21</v>
      </c>
      <c r="H62" s="22">
        <v>10.199999999999999</v>
      </c>
      <c r="I62" s="22">
        <v>9.1999999999999993</v>
      </c>
      <c r="J62" s="65">
        <v>0.67123287671232879</v>
      </c>
      <c r="K62" s="70">
        <f t="shared" si="6"/>
        <v>18.294868016086973</v>
      </c>
      <c r="L62" s="70">
        <f t="shared" si="7"/>
        <v>23.348199023999999</v>
      </c>
      <c r="M62" s="70">
        <f t="shared" si="8"/>
        <v>14.996342721767247</v>
      </c>
      <c r="N62" s="68">
        <f t="shared" si="0"/>
        <v>46.724555049537784</v>
      </c>
      <c r="O62" s="69">
        <f t="shared" si="1"/>
        <v>35.914779024657527</v>
      </c>
      <c r="P62" s="69">
        <f t="shared" si="9"/>
        <v>37.024378886917354</v>
      </c>
      <c r="Q62" s="69">
        <f t="shared" si="10"/>
        <v>50.422268728165783</v>
      </c>
      <c r="R62" s="69">
        <f t="shared" si="11"/>
        <v>48.400602666076431</v>
      </c>
      <c r="S62" s="69">
        <f t="shared" si="12"/>
        <v>47.186113029646741</v>
      </c>
      <c r="T62" s="68">
        <f t="shared" si="13"/>
        <v>25.840991202848002</v>
      </c>
      <c r="U62" s="68">
        <f t="shared" si="14"/>
        <v>12.418611311391397</v>
      </c>
      <c r="V62" s="69">
        <f t="shared" si="15"/>
        <v>43.789628467092768</v>
      </c>
      <c r="W62" s="69">
        <f t="shared" si="16"/>
        <v>6.0757051097507064</v>
      </c>
    </row>
    <row r="63" spans="1:23" x14ac:dyDescent="0.3">
      <c r="A63" s="59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22" t="s">
        <v>21</v>
      </c>
      <c r="H63" s="29">
        <f>SQRT(16.2^2+14.1^2+11.9^2)</f>
        <v>24.553207529770933</v>
      </c>
      <c r="I63" s="22">
        <v>12.1</v>
      </c>
      <c r="J63" s="65">
        <v>0.69767441860465118</v>
      </c>
      <c r="K63" s="70">
        <f t="shared" si="6"/>
        <v>175.75063074369351</v>
      </c>
      <c r="L63" s="70">
        <f t="shared" si="7"/>
        <v>177.937324158</v>
      </c>
      <c r="M63" s="70">
        <f t="shared" si="8"/>
        <v>140.97561890670761</v>
      </c>
      <c r="N63" s="68">
        <f t="shared" si="0"/>
        <v>160.66980897900768</v>
      </c>
      <c r="O63" s="69">
        <f t="shared" si="1"/>
        <v>284.48963400000002</v>
      </c>
      <c r="P63" s="69">
        <f t="shared" si="9"/>
        <v>279.06796892180103</v>
      </c>
      <c r="Q63" s="69">
        <f t="shared" si="10"/>
        <v>368.24356530795887</v>
      </c>
      <c r="R63" s="69">
        <f t="shared" si="11"/>
        <v>376.23175111958119</v>
      </c>
      <c r="S63" s="69">
        <f t="shared" si="12"/>
        <v>367.2066139707843</v>
      </c>
      <c r="T63" s="68">
        <f t="shared" si="13"/>
        <v>163.83334569685221</v>
      </c>
      <c r="U63" s="68">
        <f t="shared" si="14"/>
        <v>14.776903683605648</v>
      </c>
      <c r="V63" s="69">
        <f t="shared" si="15"/>
        <v>335.04790666402511</v>
      </c>
      <c r="W63" s="69">
        <f t="shared" si="16"/>
        <v>43.639742476277291</v>
      </c>
    </row>
    <row r="64" spans="1:23" x14ac:dyDescent="0.3">
      <c r="A64" s="59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22" t="s">
        <v>63</v>
      </c>
      <c r="H64" s="22">
        <v>10.7</v>
      </c>
      <c r="I64" s="22">
        <v>5.3</v>
      </c>
      <c r="J64" s="65">
        <v>0.21111111111111111</v>
      </c>
      <c r="K64" s="70">
        <f t="shared" si="6"/>
        <v>16.279958168493696</v>
      </c>
      <c r="L64" s="70">
        <f t="shared" si="7"/>
        <v>14.801599220999998</v>
      </c>
      <c r="M64" s="70">
        <f t="shared" si="8"/>
        <v>11.901313714584294</v>
      </c>
      <c r="N64" s="68">
        <f t="shared" si="0"/>
        <v>21.450731875164582</v>
      </c>
      <c r="O64" s="69">
        <f t="shared" si="1"/>
        <v>7.1608788188888877</v>
      </c>
      <c r="P64" s="69">
        <f t="shared" si="9"/>
        <v>7.6734076781414435</v>
      </c>
      <c r="Q64" s="69">
        <f t="shared" si="10"/>
        <v>13.304474125928181</v>
      </c>
      <c r="R64" s="69">
        <f t="shared" si="11"/>
        <v>14.407110765812112</v>
      </c>
      <c r="S64" s="69">
        <f t="shared" si="12"/>
        <v>15.007355995051871</v>
      </c>
      <c r="T64" s="68">
        <f t="shared" si="13"/>
        <v>16.108400744810641</v>
      </c>
      <c r="U64" s="68">
        <f t="shared" si="14"/>
        <v>3.4632804304048985</v>
      </c>
      <c r="V64" s="69">
        <f t="shared" si="15"/>
        <v>11.510645476764498</v>
      </c>
      <c r="W64" s="69">
        <f t="shared" si="16"/>
        <v>3.3905510095873099</v>
      </c>
    </row>
    <row r="65" spans="1:23" x14ac:dyDescent="0.3">
      <c r="A65" s="59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22" t="s">
        <v>63</v>
      </c>
      <c r="H65" s="22">
        <v>11.1</v>
      </c>
      <c r="I65" s="22">
        <v>6.6</v>
      </c>
      <c r="J65" s="65">
        <v>0.26605504587155965</v>
      </c>
      <c r="K65" s="70">
        <f t="shared" si="6"/>
        <v>19.541332326060864</v>
      </c>
      <c r="L65" s="70">
        <f t="shared" si="7"/>
        <v>19.836046098000001</v>
      </c>
      <c r="M65" s="70">
        <f t="shared" si="8"/>
        <v>14.878633771278691</v>
      </c>
      <c r="N65" s="68">
        <f t="shared" si="0"/>
        <v>30.809496266830092</v>
      </c>
      <c r="O65" s="69">
        <f t="shared" si="1"/>
        <v>12.094090133944954</v>
      </c>
      <c r="P65" s="69">
        <f t="shared" si="9"/>
        <v>12.797719405074604</v>
      </c>
      <c r="Q65" s="69">
        <f t="shared" si="10"/>
        <v>19.870849309509811</v>
      </c>
      <c r="R65" s="69">
        <f t="shared" si="11"/>
        <v>20.404269487479063</v>
      </c>
      <c r="S65" s="69">
        <f t="shared" si="12"/>
        <v>20.978412465299677</v>
      </c>
      <c r="T65" s="68">
        <f t="shared" si="13"/>
        <v>21.266377115542412</v>
      </c>
      <c r="U65" s="68">
        <f t="shared" si="14"/>
        <v>5.8501285138302848</v>
      </c>
      <c r="V65" s="69">
        <f t="shared" si="15"/>
        <v>17.229068160261619</v>
      </c>
      <c r="W65" s="69">
        <f t="shared" si="16"/>
        <v>3.9274252366521507</v>
      </c>
    </row>
    <row r="66" spans="1:23" x14ac:dyDescent="0.3">
      <c r="A66" s="59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22" t="s">
        <v>63</v>
      </c>
      <c r="H66" s="22">
        <v>10.4</v>
      </c>
      <c r="I66" s="22">
        <v>7.3</v>
      </c>
      <c r="J66" s="65">
        <v>0.19277108433734941</v>
      </c>
      <c r="K66" s="70">
        <f t="shared" si="6"/>
        <v>17.393114268455061</v>
      </c>
      <c r="L66" s="70">
        <f t="shared" si="7"/>
        <v>19.259932224000003</v>
      </c>
      <c r="M66" s="70">
        <f t="shared" si="8"/>
        <v>13.589551653425577</v>
      </c>
      <c r="N66" s="68">
        <f t="shared" ref="N66:N129" si="17">10^(-0.717903255+0.940214879*LOG10(H66)+1.345432588*LOG10(I66)*1.109844005)</f>
        <v>33.68665092677378</v>
      </c>
      <c r="O66" s="69">
        <f t="shared" si="1"/>
        <v>8.5083086650602429</v>
      </c>
      <c r="P66" s="69">
        <f t="shared" si="9"/>
        <v>9.079629744672193</v>
      </c>
      <c r="Q66" s="69">
        <f t="shared" si="10"/>
        <v>12.667938179325953</v>
      </c>
      <c r="R66" s="69">
        <f t="shared" si="11"/>
        <v>12.169934731343536</v>
      </c>
      <c r="S66" s="69">
        <f t="shared" si="12"/>
        <v>12.741551042795951</v>
      </c>
      <c r="T66" s="68">
        <f t="shared" ref="T66:T97" si="18">AVERAGE(K66:N66)</f>
        <v>20.982312268163604</v>
      </c>
      <c r="U66" s="68">
        <f t="shared" ref="U66:U97" si="19">_xlfn.STDEV.P(K66:N66)</f>
        <v>7.6141655083982105</v>
      </c>
      <c r="V66" s="69">
        <f t="shared" ref="V66:V97" si="20">AVERAGE(O66:S66)</f>
        <v>11.033472472639577</v>
      </c>
      <c r="W66" s="69">
        <f t="shared" ref="W66:W97" si="21">_xlfn.STDEV.P(O66:S66)</f>
        <v>1.8479453820045237</v>
      </c>
    </row>
    <row r="67" spans="1:23" x14ac:dyDescent="0.3">
      <c r="A67" s="59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22" t="s">
        <v>63</v>
      </c>
      <c r="H67" s="22">
        <v>16.2</v>
      </c>
      <c r="I67" s="22">
        <v>7.5</v>
      </c>
      <c r="J67" s="65">
        <v>0.22222222222222221</v>
      </c>
      <c r="K67" s="70">
        <f t="shared" ref="K67:K130" si="22">(0.02453 *(H67^2.443356)*(I67^0.423602))</f>
        <v>51.957831525000344</v>
      </c>
      <c r="L67" s="70">
        <f t="shared" ref="L67:L130" si="23">0.024393*((H67^2)*I67)</f>
        <v>48.012741900000002</v>
      </c>
      <c r="M67" s="70">
        <f t="shared" ref="M67:M130" si="24">(0.01579*(H67^2.356307)*(I67^0.623614))</f>
        <v>39.270938490104911</v>
      </c>
      <c r="N67" s="68">
        <f t="shared" si="17"/>
        <v>53.205924423500988</v>
      </c>
      <c r="O67" s="69">
        <f t="shared" ref="O67:O130" si="25">((0.0559)*((J67*H67^2*I67)))</f>
        <v>24.450659999999999</v>
      </c>
      <c r="P67" s="69">
        <f t="shared" ref="P67:P130" si="26">((0.0673)*((J67*H67^2*I67)^0.976))</f>
        <v>25.439744910365835</v>
      </c>
      <c r="Q67" s="69">
        <f t="shared" ref="Q67:Q130" si="27">EXP((-1.305)+(1.055*LN((H67^2))+(0.34*LN(I67))+(1.077*LN(J67))))</f>
        <v>37.960623233819227</v>
      </c>
      <c r="R67" s="69">
        <f t="shared" ref="R67:R130" si="28">EXP(-0.97+(1.1421*LN(H67^2*J67)))</f>
        <v>39.398032742449033</v>
      </c>
      <c r="S67" s="69">
        <f t="shared" ref="S67:S130" si="29">EXP(-1.027+(1.144 *LN(H67^2))+(1.085*LN(J67)))</f>
        <v>40.984000004186861</v>
      </c>
      <c r="T67" s="68">
        <f t="shared" si="18"/>
        <v>48.111859084651563</v>
      </c>
      <c r="U67" s="68">
        <f t="shared" si="19"/>
        <v>5.4523551531370558</v>
      </c>
      <c r="V67" s="69">
        <f t="shared" si="20"/>
        <v>33.64661217816419</v>
      </c>
      <c r="W67" s="69">
        <f t="shared" si="21"/>
        <v>7.175583555633656</v>
      </c>
    </row>
    <row r="68" spans="1:23" x14ac:dyDescent="0.3">
      <c r="A68" s="59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22" t="s">
        <v>63</v>
      </c>
      <c r="H68" s="29">
        <f>SQRT(11.6^2+8.4^2)</f>
        <v>14.322011031974526</v>
      </c>
      <c r="I68" s="22">
        <v>6.4</v>
      </c>
      <c r="J68" s="65">
        <v>0.27160493827160492</v>
      </c>
      <c r="K68" s="70">
        <f t="shared" si="22"/>
        <v>35.952269993885672</v>
      </c>
      <c r="L68" s="70">
        <f t="shared" si="23"/>
        <v>32.02234982400001</v>
      </c>
      <c r="M68" s="70">
        <f t="shared" si="24"/>
        <v>26.608940032397935</v>
      </c>
      <c r="N68" s="68">
        <f t="shared" si="17"/>
        <v>37.393249368249954</v>
      </c>
      <c r="O68" s="69">
        <f t="shared" si="25"/>
        <v>19.93138378271605</v>
      </c>
      <c r="P68" s="69">
        <f t="shared" si="26"/>
        <v>20.839615056669487</v>
      </c>
      <c r="Q68" s="69">
        <f t="shared" si="27"/>
        <v>34.424385969569443</v>
      </c>
      <c r="R68" s="69">
        <f t="shared" si="28"/>
        <v>37.392017819248004</v>
      </c>
      <c r="S68" s="69">
        <f t="shared" si="29"/>
        <v>38.43608023173266</v>
      </c>
      <c r="T68" s="68">
        <f t="shared" si="18"/>
        <v>32.99420230463339</v>
      </c>
      <c r="U68" s="68">
        <f t="shared" si="19"/>
        <v>4.17785384651794</v>
      </c>
      <c r="V68" s="69">
        <f t="shared" si="20"/>
        <v>30.204696571987132</v>
      </c>
      <c r="W68" s="69">
        <f t="shared" si="21"/>
        <v>8.1297570656455136</v>
      </c>
    </row>
    <row r="69" spans="1:23" x14ac:dyDescent="0.3">
      <c r="A69" s="59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22" t="s">
        <v>63</v>
      </c>
      <c r="H69" s="22">
        <v>12</v>
      </c>
      <c r="I69" s="22">
        <v>7.4</v>
      </c>
      <c r="J69" s="65">
        <v>0.21551724137931033</v>
      </c>
      <c r="K69" s="70">
        <f t="shared" si="22"/>
        <v>24.81588773521349</v>
      </c>
      <c r="L69" s="70">
        <f t="shared" si="23"/>
        <v>25.993180800000005</v>
      </c>
      <c r="M69" s="70">
        <f t="shared" si="24"/>
        <v>19.201250965770008</v>
      </c>
      <c r="N69" s="68">
        <f t="shared" si="17"/>
        <v>39.329049626841126</v>
      </c>
      <c r="O69" s="69">
        <f t="shared" si="25"/>
        <v>12.837724137931033</v>
      </c>
      <c r="P69" s="69">
        <f t="shared" si="26"/>
        <v>13.565177033906943</v>
      </c>
      <c r="Q69" s="69">
        <f t="shared" si="27"/>
        <v>19.409620761511157</v>
      </c>
      <c r="R69" s="69">
        <f t="shared" si="28"/>
        <v>19.16769848651321</v>
      </c>
      <c r="S69" s="69">
        <f t="shared" si="29"/>
        <v>19.951440122989045</v>
      </c>
      <c r="T69" s="68">
        <f t="shared" si="18"/>
        <v>27.33484228195616</v>
      </c>
      <c r="U69" s="68">
        <f t="shared" si="19"/>
        <v>7.3851456497409531</v>
      </c>
      <c r="V69" s="69">
        <f t="shared" si="20"/>
        <v>16.986332108570277</v>
      </c>
      <c r="W69" s="69">
        <f t="shared" si="21"/>
        <v>3.1092701023361786</v>
      </c>
    </row>
    <row r="70" spans="1:23" x14ac:dyDescent="0.3">
      <c r="A70" s="59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22" t="s">
        <v>65</v>
      </c>
      <c r="H70" s="22">
        <v>10.5</v>
      </c>
      <c r="I70" s="22">
        <v>4</v>
      </c>
      <c r="J70" s="65">
        <v>0.50270270270270268</v>
      </c>
      <c r="K70" s="70">
        <f t="shared" si="22"/>
        <v>13.799405149001611</v>
      </c>
      <c r="L70" s="70">
        <f t="shared" si="23"/>
        <v>10.757313</v>
      </c>
      <c r="M70" s="70">
        <f t="shared" si="24"/>
        <v>9.5514798354710742</v>
      </c>
      <c r="N70" s="68">
        <f t="shared" si="17"/>
        <v>13.843385541505667</v>
      </c>
      <c r="O70" s="69">
        <f t="shared" si="25"/>
        <v>12.392576756756757</v>
      </c>
      <c r="P70" s="69">
        <f t="shared" si="26"/>
        <v>13.105900860411417</v>
      </c>
      <c r="Q70" s="69">
        <f t="shared" si="27"/>
        <v>29.577924995251017</v>
      </c>
      <c r="R70" s="69">
        <f t="shared" si="28"/>
        <v>37.170850140107191</v>
      </c>
      <c r="S70" s="69">
        <f t="shared" si="29"/>
        <v>36.845406919619833</v>
      </c>
      <c r="T70" s="68">
        <f t="shared" si="18"/>
        <v>11.987895881494588</v>
      </c>
      <c r="U70" s="68">
        <f t="shared" si="19"/>
        <v>1.8824761009253426</v>
      </c>
      <c r="V70" s="69">
        <f t="shared" si="20"/>
        <v>25.818531934429245</v>
      </c>
      <c r="W70" s="69">
        <f t="shared" si="21"/>
        <v>11.013331902968305</v>
      </c>
    </row>
    <row r="71" spans="1:23" x14ac:dyDescent="0.3">
      <c r="A71" s="59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22" t="s">
        <v>65</v>
      </c>
      <c r="H71" s="29">
        <f>SQRT(8.4^2+10.4^2+11.3^2)</f>
        <v>17.504570831642802</v>
      </c>
      <c r="I71" s="22">
        <v>6.8</v>
      </c>
      <c r="J71" s="65">
        <v>0.53237410071942448</v>
      </c>
      <c r="K71" s="70">
        <f t="shared" si="22"/>
        <v>60.229822802077976</v>
      </c>
      <c r="L71" s="70">
        <f t="shared" si="23"/>
        <v>50.824962083999999</v>
      </c>
      <c r="M71" s="70">
        <f t="shared" si="24"/>
        <v>44.339709949528675</v>
      </c>
      <c r="N71" s="68">
        <f t="shared" si="17"/>
        <v>49.436242415326468</v>
      </c>
      <c r="O71" s="69">
        <f t="shared" si="25"/>
        <v>62.006979286330932</v>
      </c>
      <c r="P71" s="69">
        <f t="shared" si="26"/>
        <v>63.090379653480802</v>
      </c>
      <c r="Q71" s="69">
        <f t="shared" si="27"/>
        <v>110.78576219853635</v>
      </c>
      <c r="R71" s="69">
        <f t="shared" si="28"/>
        <v>127.54201622130948</v>
      </c>
      <c r="S71" s="69">
        <f t="shared" si="29"/>
        <v>126.25700475247791</v>
      </c>
      <c r="T71" s="68">
        <f t="shared" si="18"/>
        <v>51.207684312733278</v>
      </c>
      <c r="U71" s="68">
        <f t="shared" si="19"/>
        <v>5.7413530085426299</v>
      </c>
      <c r="V71" s="69">
        <f t="shared" si="20"/>
        <v>97.936428422427099</v>
      </c>
      <c r="W71" s="69">
        <f t="shared" si="21"/>
        <v>29.491774043297337</v>
      </c>
    </row>
    <row r="72" spans="1:23" x14ac:dyDescent="0.3">
      <c r="A72" s="59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22" t="s">
        <v>65</v>
      </c>
      <c r="H72" s="29">
        <f>SQRT(7.3^2+11.2^2)</f>
        <v>13.36899397860587</v>
      </c>
      <c r="I72" s="22">
        <v>7.5</v>
      </c>
      <c r="J72" s="65">
        <v>0.51583710407239824</v>
      </c>
      <c r="K72" s="70">
        <f t="shared" si="22"/>
        <v>32.496406025585827</v>
      </c>
      <c r="L72" s="70">
        <f t="shared" si="23"/>
        <v>32.698206675000002</v>
      </c>
      <c r="M72" s="70">
        <f t="shared" si="24"/>
        <v>24.97565573566532</v>
      </c>
      <c r="N72" s="68">
        <f t="shared" si="17"/>
        <v>44.415111751629418</v>
      </c>
      <c r="O72" s="69">
        <f t="shared" si="25"/>
        <v>38.652990882352938</v>
      </c>
      <c r="P72" s="69">
        <f t="shared" si="26"/>
        <v>39.776983897408016</v>
      </c>
      <c r="Q72" s="69">
        <f t="shared" si="27"/>
        <v>62.691822053851233</v>
      </c>
      <c r="R72" s="69">
        <f t="shared" si="28"/>
        <v>66.470612594874027</v>
      </c>
      <c r="S72" s="69">
        <f t="shared" si="29"/>
        <v>65.852096021169885</v>
      </c>
      <c r="T72" s="68">
        <f t="shared" si="18"/>
        <v>33.64634504697014</v>
      </c>
      <c r="U72" s="68">
        <f t="shared" si="19"/>
        <v>6.9528504154385899</v>
      </c>
      <c r="V72" s="69">
        <f t="shared" si="20"/>
        <v>54.688901089931221</v>
      </c>
      <c r="W72" s="69">
        <f t="shared" si="21"/>
        <v>12.704236156144667</v>
      </c>
    </row>
    <row r="73" spans="1:23" x14ac:dyDescent="0.3">
      <c r="A73" s="59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22" t="s">
        <v>65</v>
      </c>
      <c r="H73" s="29">
        <f>SQRT(5.7^2+6.5^2+4.7^2+6.7^2+10.1^2)</f>
        <v>15.611854470241516</v>
      </c>
      <c r="I73" s="22">
        <v>8</v>
      </c>
      <c r="J73" s="65">
        <v>0.52551020408163263</v>
      </c>
      <c r="K73" s="70">
        <f t="shared" si="22"/>
        <v>48.784568961924123</v>
      </c>
      <c r="L73" s="70">
        <f t="shared" si="23"/>
        <v>47.562447120000009</v>
      </c>
      <c r="M73" s="70">
        <f t="shared" si="24"/>
        <v>37.47199954567381</v>
      </c>
      <c r="N73" s="68">
        <f t="shared" si="17"/>
        <v>56.586484262219059</v>
      </c>
      <c r="O73" s="69">
        <f t="shared" si="25"/>
        <v>57.278539632653064</v>
      </c>
      <c r="P73" s="69">
        <f t="shared" si="26"/>
        <v>58.390375744348631</v>
      </c>
      <c r="Q73" s="69">
        <f t="shared" si="27"/>
        <v>90.68828346411658</v>
      </c>
      <c r="R73" s="69">
        <f t="shared" si="28"/>
        <v>96.760664800155652</v>
      </c>
      <c r="S73" s="69">
        <f t="shared" si="29"/>
        <v>95.815109729906268</v>
      </c>
      <c r="T73" s="68">
        <f t="shared" si="18"/>
        <v>47.601374972454252</v>
      </c>
      <c r="U73" s="68">
        <f t="shared" si="19"/>
        <v>6.7959160324435617</v>
      </c>
      <c r="V73" s="69">
        <f t="shared" si="20"/>
        <v>79.786594674236042</v>
      </c>
      <c r="W73" s="69">
        <f t="shared" si="21"/>
        <v>18.045996211079586</v>
      </c>
    </row>
    <row r="74" spans="1:23" x14ac:dyDescent="0.3">
      <c r="A74" s="59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22" t="s">
        <v>65</v>
      </c>
      <c r="H74" s="29">
        <f>SQRT(8.5^2+6.1^2+6.5^2+6^2+12.1^2)</f>
        <v>18.278949641595929</v>
      </c>
      <c r="I74" s="22">
        <v>6.4</v>
      </c>
      <c r="J74" s="65">
        <v>0.51256281407035176</v>
      </c>
      <c r="K74" s="70">
        <f t="shared" si="22"/>
        <v>65.251894092452588</v>
      </c>
      <c r="L74" s="70">
        <f t="shared" si="23"/>
        <v>52.161210623999999</v>
      </c>
      <c r="M74" s="70">
        <f t="shared" si="24"/>
        <v>47.27938081010997</v>
      </c>
      <c r="N74" s="68">
        <f t="shared" si="17"/>
        <v>47.033399510648863</v>
      </c>
      <c r="O74" s="69">
        <f t="shared" si="25"/>
        <v>61.269078705527633</v>
      </c>
      <c r="P74" s="69">
        <f t="shared" si="26"/>
        <v>62.357500272211475</v>
      </c>
      <c r="Q74" s="69">
        <f t="shared" si="27"/>
        <v>114.14624325506537</v>
      </c>
      <c r="R74" s="69">
        <f t="shared" si="28"/>
        <v>134.8296863589386</v>
      </c>
      <c r="S74" s="69">
        <f t="shared" si="29"/>
        <v>133.78258840163491</v>
      </c>
      <c r="T74" s="68">
        <f t="shared" si="18"/>
        <v>52.931471259302853</v>
      </c>
      <c r="U74" s="68">
        <f t="shared" si="19"/>
        <v>7.4013427334508535</v>
      </c>
      <c r="V74" s="69">
        <f t="shared" si="20"/>
        <v>101.27701939867561</v>
      </c>
      <c r="W74" s="69">
        <f t="shared" si="21"/>
        <v>33.055633972320003</v>
      </c>
    </row>
    <row r="75" spans="1:23" x14ac:dyDescent="0.3">
      <c r="A75" s="59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22" t="s">
        <v>65</v>
      </c>
      <c r="H75" s="22">
        <v>10.4</v>
      </c>
      <c r="I75" s="22">
        <v>5.5</v>
      </c>
      <c r="J75" s="65">
        <v>0.52606635071090047</v>
      </c>
      <c r="K75" s="70">
        <f t="shared" si="22"/>
        <v>15.427344441112673</v>
      </c>
      <c r="L75" s="70">
        <f t="shared" si="23"/>
        <v>14.510907840000003</v>
      </c>
      <c r="M75" s="70">
        <f t="shared" si="24"/>
        <v>11.390045130516548</v>
      </c>
      <c r="N75" s="68">
        <f t="shared" si="17"/>
        <v>22.07248418832577</v>
      </c>
      <c r="O75" s="69">
        <f t="shared" si="25"/>
        <v>17.493701004739339</v>
      </c>
      <c r="P75" s="69">
        <f t="shared" si="26"/>
        <v>18.348208998966758</v>
      </c>
      <c r="Q75" s="69">
        <f t="shared" si="27"/>
        <v>33.921106097264563</v>
      </c>
      <c r="R75" s="69">
        <f t="shared" si="28"/>
        <v>38.303837656576</v>
      </c>
      <c r="S75" s="69">
        <f t="shared" si="29"/>
        <v>37.868736532218946</v>
      </c>
      <c r="T75" s="68">
        <f t="shared" si="18"/>
        <v>15.850195399988749</v>
      </c>
      <c r="U75" s="68">
        <f t="shared" si="19"/>
        <v>3.8917320145887659</v>
      </c>
      <c r="V75" s="69">
        <f t="shared" si="20"/>
        <v>29.187118057953121</v>
      </c>
      <c r="W75" s="69">
        <f t="shared" si="21"/>
        <v>9.3285976470028977</v>
      </c>
    </row>
    <row r="76" spans="1:23" x14ac:dyDescent="0.3">
      <c r="A76" s="59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22" t="s">
        <v>21</v>
      </c>
      <c r="H76" s="22">
        <v>14.9</v>
      </c>
      <c r="I76" s="22">
        <v>7.9</v>
      </c>
      <c r="J76" s="65">
        <v>0.47868852459016392</v>
      </c>
      <c r="K76" s="70">
        <f t="shared" si="22"/>
        <v>43.295811826046453</v>
      </c>
      <c r="L76" s="70">
        <f t="shared" si="23"/>
        <v>42.782370447000005</v>
      </c>
      <c r="M76" s="70">
        <f t="shared" si="24"/>
        <v>33.307494701612193</v>
      </c>
      <c r="N76" s="68">
        <f t="shared" si="17"/>
        <v>53.149467496722004</v>
      </c>
      <c r="O76" s="69">
        <f t="shared" si="25"/>
        <v>46.93150187081968</v>
      </c>
      <c r="P76" s="69">
        <f t="shared" si="26"/>
        <v>48.071806769321661</v>
      </c>
      <c r="Q76" s="69">
        <f t="shared" si="27"/>
        <v>74.0080629255487</v>
      </c>
      <c r="R76" s="69">
        <f t="shared" si="28"/>
        <v>78.183476339148584</v>
      </c>
      <c r="S76" s="69">
        <f t="shared" si="29"/>
        <v>77.819291421848433</v>
      </c>
      <c r="T76" s="68">
        <f t="shared" si="18"/>
        <v>43.133786117845162</v>
      </c>
      <c r="U76" s="68">
        <f t="shared" si="19"/>
        <v>7.0181839136586364</v>
      </c>
      <c r="V76" s="69">
        <f t="shared" si="20"/>
        <v>65.002827865337423</v>
      </c>
      <c r="W76" s="69">
        <f t="shared" si="21"/>
        <v>14.368839823236065</v>
      </c>
    </row>
    <row r="77" spans="1:23" x14ac:dyDescent="0.3">
      <c r="A77" s="59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22" t="s">
        <v>21</v>
      </c>
      <c r="H77" s="22">
        <v>16.399999999999999</v>
      </c>
      <c r="I77" s="22">
        <v>10</v>
      </c>
      <c r="J77" s="65">
        <v>0.49538461538461537</v>
      </c>
      <c r="K77" s="70">
        <f t="shared" si="22"/>
        <v>60.47773997265007</v>
      </c>
      <c r="L77" s="70">
        <f t="shared" si="23"/>
        <v>65.607412800000006</v>
      </c>
      <c r="M77" s="70">
        <f t="shared" si="24"/>
        <v>48.36611376508727</v>
      </c>
      <c r="N77" s="68">
        <f t="shared" si="17"/>
        <v>82.704910978562808</v>
      </c>
      <c r="O77" s="69">
        <f t="shared" si="25"/>
        <v>74.480403199999984</v>
      </c>
      <c r="P77" s="69">
        <f t="shared" si="26"/>
        <v>75.449115057899988</v>
      </c>
      <c r="Q77" s="69">
        <f t="shared" si="27"/>
        <v>101.8636676751098</v>
      </c>
      <c r="R77" s="69">
        <f t="shared" si="28"/>
        <v>101.22190738164403</v>
      </c>
      <c r="S77" s="69">
        <f t="shared" si="29"/>
        <v>100.59002596484939</v>
      </c>
      <c r="T77" s="68">
        <f t="shared" si="18"/>
        <v>64.289044379075037</v>
      </c>
      <c r="U77" s="68">
        <f t="shared" si="19"/>
        <v>12.338435866426961</v>
      </c>
      <c r="V77" s="69">
        <f t="shared" si="20"/>
        <v>90.721023855900654</v>
      </c>
      <c r="W77" s="69">
        <f t="shared" si="21"/>
        <v>12.874884281831282</v>
      </c>
    </row>
    <row r="78" spans="1:23" x14ac:dyDescent="0.3">
      <c r="A78" s="59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22" t="s">
        <v>21</v>
      </c>
      <c r="H78" s="22">
        <v>15.7</v>
      </c>
      <c r="I78" s="22">
        <v>9.5</v>
      </c>
      <c r="J78" s="65">
        <v>0.4955223880597015</v>
      </c>
      <c r="K78" s="70">
        <f t="shared" si="22"/>
        <v>53.19512257675742</v>
      </c>
      <c r="L78" s="70">
        <f t="shared" si="23"/>
        <v>57.119990414999997</v>
      </c>
      <c r="M78" s="70">
        <f t="shared" si="24"/>
        <v>42.267930111955195</v>
      </c>
      <c r="N78" s="68">
        <f t="shared" si="17"/>
        <v>73.528569914981659</v>
      </c>
      <c r="O78" s="69">
        <f t="shared" si="25"/>
        <v>64.863144498507452</v>
      </c>
      <c r="P78" s="69">
        <f t="shared" si="26"/>
        <v>65.925159127278846</v>
      </c>
      <c r="Q78" s="69">
        <f t="shared" si="27"/>
        <v>91.327831776146283</v>
      </c>
      <c r="R78" s="69">
        <f t="shared" si="28"/>
        <v>91.651612830426657</v>
      </c>
      <c r="S78" s="69">
        <f t="shared" si="29"/>
        <v>91.062932479402889</v>
      </c>
      <c r="T78" s="68">
        <f t="shared" si="18"/>
        <v>56.527903254673568</v>
      </c>
      <c r="U78" s="68">
        <f t="shared" si="19"/>
        <v>11.223051002050147</v>
      </c>
      <c r="V78" s="69">
        <f t="shared" si="20"/>
        <v>80.966136142352426</v>
      </c>
      <c r="W78" s="69">
        <f t="shared" si="21"/>
        <v>12.720273378983242</v>
      </c>
    </row>
    <row r="79" spans="1:23" x14ac:dyDescent="0.3">
      <c r="A79" s="59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22" t="s">
        <v>21</v>
      </c>
      <c r="H79" s="22">
        <v>10.3</v>
      </c>
      <c r="I79" s="22">
        <v>9.1999999999999993</v>
      </c>
      <c r="J79" s="65">
        <v>0.53535353535353536</v>
      </c>
      <c r="K79" s="70">
        <f t="shared" si="22"/>
        <v>18.736217076044156</v>
      </c>
      <c r="L79" s="70">
        <f t="shared" si="23"/>
        <v>23.808251004000006</v>
      </c>
      <c r="M79" s="70">
        <f t="shared" si="24"/>
        <v>15.345079918043384</v>
      </c>
      <c r="N79" s="68">
        <f t="shared" si="17"/>
        <v>47.155126535749247</v>
      </c>
      <c r="O79" s="69">
        <f t="shared" si="25"/>
        <v>29.208870258585865</v>
      </c>
      <c r="P79" s="69">
        <f t="shared" si="26"/>
        <v>30.261018784848254</v>
      </c>
      <c r="Q79" s="69">
        <f t="shared" si="27"/>
        <v>40.34280708800059</v>
      </c>
      <c r="R79" s="69">
        <f t="shared" si="28"/>
        <v>38.224134110776966</v>
      </c>
      <c r="S79" s="69">
        <f t="shared" si="29"/>
        <v>37.750809572984458</v>
      </c>
      <c r="T79" s="68">
        <f t="shared" si="18"/>
        <v>26.261168633459199</v>
      </c>
      <c r="U79" s="68">
        <f t="shared" si="19"/>
        <v>12.433424412685463</v>
      </c>
      <c r="V79" s="69">
        <f t="shared" si="20"/>
        <v>35.157527963039222</v>
      </c>
      <c r="W79" s="69">
        <f t="shared" si="21"/>
        <v>4.5250112263826496</v>
      </c>
    </row>
    <row r="80" spans="1:23" x14ac:dyDescent="0.3">
      <c r="A80" s="59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22" t="s">
        <v>21</v>
      </c>
      <c r="H80" s="22">
        <v>13</v>
      </c>
      <c r="I80" s="22">
        <v>10.7</v>
      </c>
      <c r="J80" s="65">
        <v>0.57358490566037734</v>
      </c>
      <c r="K80" s="70">
        <f t="shared" si="22"/>
        <v>35.278226863741374</v>
      </c>
      <c r="L80" s="70">
        <f t="shared" si="23"/>
        <v>44.109861899999999</v>
      </c>
      <c r="M80" s="70">
        <f t="shared" si="24"/>
        <v>29.181847514743716</v>
      </c>
      <c r="N80" s="68">
        <f t="shared" si="17"/>
        <v>73.542705754276597</v>
      </c>
      <c r="O80" s="69">
        <f t="shared" si="25"/>
        <v>57.980239396226409</v>
      </c>
      <c r="P80" s="69">
        <f t="shared" si="26"/>
        <v>59.088426332052592</v>
      </c>
      <c r="Q80" s="69">
        <f t="shared" si="27"/>
        <v>74.75950151094051</v>
      </c>
      <c r="R80" s="69">
        <f t="shared" si="28"/>
        <v>70.387932203985955</v>
      </c>
      <c r="S80" s="69">
        <f t="shared" si="29"/>
        <v>69.304347158973201</v>
      </c>
      <c r="T80" s="68">
        <f t="shared" si="18"/>
        <v>45.528160508190417</v>
      </c>
      <c r="U80" s="68">
        <f t="shared" si="19"/>
        <v>17.022701052435391</v>
      </c>
      <c r="V80" s="69">
        <f t="shared" si="20"/>
        <v>66.304089320435736</v>
      </c>
      <c r="W80" s="69">
        <f t="shared" si="21"/>
        <v>6.6109845715936739</v>
      </c>
    </row>
    <row r="81" spans="1:23" x14ac:dyDescent="0.3">
      <c r="A81" s="59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22" t="s">
        <v>21</v>
      </c>
      <c r="H81" s="22">
        <v>19.399999999999999</v>
      </c>
      <c r="I81" s="22">
        <v>14.8</v>
      </c>
      <c r="J81" s="65">
        <v>0.53076923076923077</v>
      </c>
      <c r="K81" s="70">
        <f t="shared" si="22"/>
        <v>107.64177113140825</v>
      </c>
      <c r="L81" s="70">
        <f t="shared" si="23"/>
        <v>135.87213230399999</v>
      </c>
      <c r="M81" s="70">
        <f t="shared" si="24"/>
        <v>91.755044512383051</v>
      </c>
      <c r="N81" s="68">
        <f t="shared" si="17"/>
        <v>173.92645011025255</v>
      </c>
      <c r="O81" s="69">
        <f t="shared" si="25"/>
        <v>165.26569775999997</v>
      </c>
      <c r="P81" s="69">
        <f t="shared" si="26"/>
        <v>164.2432295155501</v>
      </c>
      <c r="Q81" s="69">
        <f t="shared" si="27"/>
        <v>178.69805057469441</v>
      </c>
      <c r="R81" s="69">
        <f t="shared" si="28"/>
        <v>160.74812203831411</v>
      </c>
      <c r="S81" s="69">
        <f t="shared" si="29"/>
        <v>159.21817857339215</v>
      </c>
      <c r="T81" s="68">
        <f t="shared" si="18"/>
        <v>127.29884951451095</v>
      </c>
      <c r="U81" s="68">
        <f t="shared" si="19"/>
        <v>31.21456839239211</v>
      </c>
      <c r="V81" s="69">
        <f t="shared" si="20"/>
        <v>165.63465569239014</v>
      </c>
      <c r="W81" s="69">
        <f t="shared" si="21"/>
        <v>6.8959969893196016</v>
      </c>
    </row>
    <row r="82" spans="1:23" x14ac:dyDescent="0.3">
      <c r="A82" s="59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22" t="s">
        <v>68</v>
      </c>
      <c r="H82" s="22">
        <v>12.5</v>
      </c>
      <c r="I82" s="22">
        <v>10</v>
      </c>
      <c r="J82" s="65">
        <v>0.62621359223300976</v>
      </c>
      <c r="K82" s="70">
        <f t="shared" si="22"/>
        <v>31.148792090580091</v>
      </c>
      <c r="L82" s="70">
        <f t="shared" si="23"/>
        <v>38.114062500000003</v>
      </c>
      <c r="M82" s="70">
        <f t="shared" si="24"/>
        <v>25.50661764922387</v>
      </c>
      <c r="N82" s="68">
        <f t="shared" si="17"/>
        <v>64.069030475006201</v>
      </c>
      <c r="O82" s="69">
        <f t="shared" si="25"/>
        <v>54.695843446601948</v>
      </c>
      <c r="P82" s="69">
        <f t="shared" si="26"/>
        <v>55.819322345441336</v>
      </c>
      <c r="Q82" s="69">
        <f t="shared" si="27"/>
        <v>73.92578590684019</v>
      </c>
      <c r="R82" s="69">
        <f t="shared" si="28"/>
        <v>71.143128624977749</v>
      </c>
      <c r="S82" s="69">
        <f t="shared" si="29"/>
        <v>69.687290388578006</v>
      </c>
      <c r="T82" s="68">
        <f t="shared" si="18"/>
        <v>39.709625678702537</v>
      </c>
      <c r="U82" s="68">
        <f t="shared" si="19"/>
        <v>14.755844034622141</v>
      </c>
      <c r="V82" s="69">
        <f t="shared" si="20"/>
        <v>65.054274142487856</v>
      </c>
      <c r="W82" s="69">
        <f t="shared" si="21"/>
        <v>8.1218733135373995</v>
      </c>
    </row>
    <row r="83" spans="1:23" x14ac:dyDescent="0.3">
      <c r="A83" s="59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22" t="s">
        <v>68</v>
      </c>
      <c r="H83" s="22">
        <v>18.399999999999999</v>
      </c>
      <c r="I83" s="22">
        <v>10.3</v>
      </c>
      <c r="J83" s="65">
        <v>0.56457564575645758</v>
      </c>
      <c r="K83" s="70">
        <f t="shared" si="22"/>
        <v>81.121811287526796</v>
      </c>
      <c r="L83" s="70">
        <f t="shared" si="23"/>
        <v>85.062489024000001</v>
      </c>
      <c r="M83" s="70">
        <f t="shared" si="24"/>
        <v>64.610141643729364</v>
      </c>
      <c r="N83" s="68">
        <f t="shared" si="17"/>
        <v>96.313325356626962</v>
      </c>
      <c r="O83" s="69">
        <f t="shared" si="25"/>
        <v>110.05425001328412</v>
      </c>
      <c r="P83" s="69">
        <f t="shared" si="26"/>
        <v>110.44584815000421</v>
      </c>
      <c r="Q83" s="69">
        <f t="shared" si="27"/>
        <v>151.00130784005572</v>
      </c>
      <c r="R83" s="69">
        <f t="shared" si="28"/>
        <v>152.85268781020693</v>
      </c>
      <c r="S83" s="69">
        <f t="shared" si="29"/>
        <v>150.83470143157157</v>
      </c>
      <c r="T83" s="68">
        <f t="shared" si="18"/>
        <v>81.776941827970774</v>
      </c>
      <c r="U83" s="68">
        <f t="shared" si="19"/>
        <v>11.371339972274789</v>
      </c>
      <c r="V83" s="69">
        <f t="shared" si="20"/>
        <v>135.03775904902452</v>
      </c>
      <c r="W83" s="69">
        <f t="shared" si="21"/>
        <v>20.251853104402127</v>
      </c>
    </row>
    <row r="84" spans="1:23" x14ac:dyDescent="0.3">
      <c r="A84" s="59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22" t="s">
        <v>68</v>
      </c>
      <c r="H84" s="22">
        <v>10.6</v>
      </c>
      <c r="I84" s="22">
        <v>7</v>
      </c>
      <c r="J84" s="65">
        <v>0.60759493670886078</v>
      </c>
      <c r="K84" s="70">
        <f t="shared" si="22"/>
        <v>17.900699655890886</v>
      </c>
      <c r="L84" s="70">
        <f t="shared" si="23"/>
        <v>19.185582360000002</v>
      </c>
      <c r="M84" s="70">
        <f t="shared" si="24"/>
        <v>13.84626013465272</v>
      </c>
      <c r="N84" s="68">
        <f t="shared" si="17"/>
        <v>32.212328329531104</v>
      </c>
      <c r="O84" s="69">
        <f t="shared" si="25"/>
        <v>26.713803341772149</v>
      </c>
      <c r="P84" s="69">
        <f t="shared" si="26"/>
        <v>27.735449378868587</v>
      </c>
      <c r="Q84" s="69">
        <f t="shared" si="27"/>
        <v>44.763789597288905</v>
      </c>
      <c r="R84" s="69">
        <f t="shared" si="28"/>
        <v>47.16325018772072</v>
      </c>
      <c r="S84" s="69">
        <f t="shared" si="29"/>
        <v>46.24882838708232</v>
      </c>
      <c r="T84" s="68">
        <f t="shared" si="18"/>
        <v>20.786217620018679</v>
      </c>
      <c r="U84" s="68">
        <f t="shared" si="19"/>
        <v>6.8848976572212095</v>
      </c>
      <c r="V84" s="69">
        <f t="shared" si="20"/>
        <v>38.525024178546538</v>
      </c>
      <c r="W84" s="69">
        <f t="shared" si="21"/>
        <v>9.264104446738088</v>
      </c>
    </row>
    <row r="85" spans="1:23" x14ac:dyDescent="0.3">
      <c r="A85" s="59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22" t="s">
        <v>68</v>
      </c>
      <c r="H85" s="22">
        <v>11.2</v>
      </c>
      <c r="I85" s="22">
        <v>6.8</v>
      </c>
      <c r="J85" s="65">
        <v>0.60431654676258995</v>
      </c>
      <c r="K85" s="70">
        <f t="shared" si="22"/>
        <v>20.228474840287124</v>
      </c>
      <c r="L85" s="70">
        <f t="shared" si="23"/>
        <v>20.807033855999997</v>
      </c>
      <c r="M85" s="70">
        <f t="shared" si="24"/>
        <v>15.481966180899217</v>
      </c>
      <c r="N85" s="68">
        <f t="shared" si="17"/>
        <v>32.486755724915824</v>
      </c>
      <c r="O85" s="69">
        <f t="shared" si="25"/>
        <v>28.815174353956824</v>
      </c>
      <c r="P85" s="69">
        <f t="shared" si="26"/>
        <v>29.862865718884397</v>
      </c>
      <c r="Q85" s="69">
        <f t="shared" si="27"/>
        <v>49.496057836155352</v>
      </c>
      <c r="R85" s="69">
        <f t="shared" si="28"/>
        <v>53.154535724202098</v>
      </c>
      <c r="S85" s="69">
        <f t="shared" si="29"/>
        <v>52.15096752728472</v>
      </c>
      <c r="T85" s="68">
        <f t="shared" si="18"/>
        <v>22.251057650525542</v>
      </c>
      <c r="U85" s="68">
        <f t="shared" si="19"/>
        <v>6.2603146953182858</v>
      </c>
      <c r="V85" s="69">
        <f t="shared" si="20"/>
        <v>42.695920232096682</v>
      </c>
      <c r="W85" s="69">
        <f t="shared" si="21"/>
        <v>10.976199916844218</v>
      </c>
    </row>
    <row r="86" spans="1:23" x14ac:dyDescent="0.3">
      <c r="A86" s="59" t="s">
        <v>67</v>
      </c>
      <c r="B86" s="19" t="s">
        <v>24</v>
      </c>
      <c r="C86" s="22">
        <v>1</v>
      </c>
      <c r="D86" s="22">
        <v>1</v>
      </c>
      <c r="E86" s="22">
        <v>1</v>
      </c>
      <c r="F86" s="22">
        <v>1667</v>
      </c>
      <c r="G86" s="22" t="s">
        <v>68</v>
      </c>
      <c r="H86" s="29">
        <f>SQRT(8.9^2+9.1^2)</f>
        <v>12.728707711311467</v>
      </c>
      <c r="I86" s="22">
        <v>7.4</v>
      </c>
      <c r="J86" s="65">
        <v>0.67441860465116277</v>
      </c>
      <c r="K86" s="70">
        <f t="shared" si="22"/>
        <v>28.660728509382317</v>
      </c>
      <c r="L86" s="70">
        <f t="shared" si="23"/>
        <v>29.245938563999999</v>
      </c>
      <c r="M86" s="70">
        <f t="shared" si="24"/>
        <v>22.062677260893253</v>
      </c>
      <c r="N86" s="68">
        <f t="shared" si="17"/>
        <v>41.570556397060486</v>
      </c>
      <c r="O86" s="69">
        <f t="shared" si="25"/>
        <v>45.200339599999992</v>
      </c>
      <c r="P86" s="69">
        <f t="shared" si="26"/>
        <v>46.340363566343278</v>
      </c>
      <c r="Q86" s="69">
        <f t="shared" si="27"/>
        <v>75.099406572605446</v>
      </c>
      <c r="R86" s="69">
        <f t="shared" si="28"/>
        <v>80.705496323928315</v>
      </c>
      <c r="S86" s="69">
        <f t="shared" si="29"/>
        <v>78.7253555525824</v>
      </c>
      <c r="T86" s="68">
        <f t="shared" si="18"/>
        <v>30.384975182834015</v>
      </c>
      <c r="U86" s="68">
        <f t="shared" si="19"/>
        <v>7.0471324099159078</v>
      </c>
      <c r="V86" s="69">
        <f t="shared" si="20"/>
        <v>65.214192323091879</v>
      </c>
      <c r="W86" s="69">
        <f t="shared" si="21"/>
        <v>15.981396716055464</v>
      </c>
    </row>
    <row r="87" spans="1:23" x14ac:dyDescent="0.3">
      <c r="A87" s="59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22" t="s">
        <v>68</v>
      </c>
      <c r="H87" s="22">
        <v>12.4</v>
      </c>
      <c r="I87" s="22">
        <v>8.6999999999999993</v>
      </c>
      <c r="J87" s="65">
        <v>0.6244343891402715</v>
      </c>
      <c r="K87" s="70">
        <f t="shared" si="22"/>
        <v>28.793749206298198</v>
      </c>
      <c r="L87" s="70">
        <f t="shared" si="23"/>
        <v>32.630808815999998</v>
      </c>
      <c r="M87" s="70">
        <f t="shared" si="24"/>
        <v>22.946510956233052</v>
      </c>
      <c r="N87" s="68">
        <f t="shared" si="17"/>
        <v>51.648450291631839</v>
      </c>
      <c r="O87" s="69">
        <f t="shared" si="25"/>
        <v>46.694017694117647</v>
      </c>
      <c r="P87" s="69">
        <f t="shared" si="26"/>
        <v>47.834376051593516</v>
      </c>
      <c r="Q87" s="69">
        <f t="shared" si="27"/>
        <v>69.110064770624604</v>
      </c>
      <c r="R87" s="69">
        <f t="shared" si="28"/>
        <v>69.623147784161688</v>
      </c>
      <c r="S87" s="69">
        <f t="shared" si="29"/>
        <v>68.207412497007695</v>
      </c>
      <c r="T87" s="68">
        <f t="shared" si="18"/>
        <v>34.004879817540775</v>
      </c>
      <c r="U87" s="68">
        <f t="shared" si="19"/>
        <v>10.754383458753709</v>
      </c>
      <c r="V87" s="69">
        <f t="shared" si="20"/>
        <v>60.293803759501031</v>
      </c>
      <c r="W87" s="69">
        <f t="shared" si="21"/>
        <v>10.654387276890564</v>
      </c>
    </row>
    <row r="88" spans="1:23" x14ac:dyDescent="0.3">
      <c r="A88" s="59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22" t="s">
        <v>54</v>
      </c>
      <c r="H88" s="22">
        <v>13</v>
      </c>
      <c r="I88" s="22">
        <v>9.6</v>
      </c>
      <c r="J88" s="65">
        <v>0.43252595155709345</v>
      </c>
      <c r="K88" s="70">
        <f t="shared" si="22"/>
        <v>33.693783470036891</v>
      </c>
      <c r="L88" s="70">
        <f t="shared" si="23"/>
        <v>39.575203199999997</v>
      </c>
      <c r="M88" s="70">
        <f t="shared" si="24"/>
        <v>27.272989254476638</v>
      </c>
      <c r="N88" s="68">
        <f t="shared" si="17"/>
        <v>62.544654320363392</v>
      </c>
      <c r="O88" s="69">
        <f t="shared" si="25"/>
        <v>39.226712802768162</v>
      </c>
      <c r="P88" s="69">
        <f t="shared" si="26"/>
        <v>40.35311727239008</v>
      </c>
      <c r="Q88" s="69">
        <f t="shared" si="27"/>
        <v>53.164716344182274</v>
      </c>
      <c r="R88" s="69">
        <f t="shared" si="28"/>
        <v>50.990968111771743</v>
      </c>
      <c r="S88" s="69">
        <f t="shared" si="29"/>
        <v>51.021727848563884</v>
      </c>
      <c r="T88" s="68">
        <f t="shared" si="18"/>
        <v>40.771657561219229</v>
      </c>
      <c r="U88" s="68">
        <f t="shared" si="19"/>
        <v>13.302304674550477</v>
      </c>
      <c r="V88" s="69">
        <f t="shared" si="20"/>
        <v>46.95144847593523</v>
      </c>
      <c r="W88" s="69">
        <f t="shared" si="21"/>
        <v>5.9109915674804077</v>
      </c>
    </row>
    <row r="89" spans="1:23" x14ac:dyDescent="0.3">
      <c r="A89" s="59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22" t="s">
        <v>54</v>
      </c>
      <c r="H89" s="22">
        <v>12.8</v>
      </c>
      <c r="I89" s="22">
        <v>9.4</v>
      </c>
      <c r="J89" s="65">
        <v>0.43609022556390975</v>
      </c>
      <c r="K89" s="70">
        <f t="shared" si="22"/>
        <v>32.15322768293445</v>
      </c>
      <c r="L89" s="70">
        <f t="shared" si="23"/>
        <v>37.567561728000015</v>
      </c>
      <c r="M89" s="70">
        <f t="shared" si="24"/>
        <v>25.951644612856121</v>
      </c>
      <c r="N89" s="68">
        <f t="shared" si="17"/>
        <v>59.731894624799722</v>
      </c>
      <c r="O89" s="69">
        <f t="shared" si="25"/>
        <v>37.543603392481209</v>
      </c>
      <c r="P89" s="69">
        <f t="shared" si="26"/>
        <v>38.662348411836803</v>
      </c>
      <c r="Q89" s="69">
        <f t="shared" si="27"/>
        <v>51.540180959640246</v>
      </c>
      <c r="R89" s="69">
        <f t="shared" si="28"/>
        <v>49.680220818451176</v>
      </c>
      <c r="S89" s="69">
        <f t="shared" si="29"/>
        <v>49.683973355373311</v>
      </c>
      <c r="T89" s="68">
        <f t="shared" si="18"/>
        <v>38.851082162147577</v>
      </c>
      <c r="U89" s="68">
        <f t="shared" si="19"/>
        <v>12.736880480695708</v>
      </c>
      <c r="V89" s="69">
        <f t="shared" si="20"/>
        <v>45.42206538755655</v>
      </c>
      <c r="W89" s="69">
        <f t="shared" si="21"/>
        <v>6.0247991228396662</v>
      </c>
    </row>
    <row r="90" spans="1:23" x14ac:dyDescent="0.3">
      <c r="A90" s="59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22" t="s">
        <v>54</v>
      </c>
      <c r="H90" s="22">
        <v>13.8</v>
      </c>
      <c r="I90" s="22">
        <v>7.5</v>
      </c>
      <c r="J90" s="65">
        <v>0.4375</v>
      </c>
      <c r="K90" s="70">
        <f t="shared" si="22"/>
        <v>35.116049661273735</v>
      </c>
      <c r="L90" s="70">
        <f t="shared" si="23"/>
        <v>34.840521900000006</v>
      </c>
      <c r="M90" s="70">
        <f t="shared" si="24"/>
        <v>26.91458298004417</v>
      </c>
      <c r="N90" s="68">
        <f t="shared" si="17"/>
        <v>45.7601308317277</v>
      </c>
      <c r="O90" s="69">
        <f t="shared" si="25"/>
        <v>34.930861874999998</v>
      </c>
      <c r="P90" s="69">
        <f t="shared" si="26"/>
        <v>36.034078301921397</v>
      </c>
      <c r="Q90" s="69">
        <f t="shared" si="27"/>
        <v>56.136427487314705</v>
      </c>
      <c r="R90" s="69">
        <f t="shared" si="28"/>
        <v>59.211655134557709</v>
      </c>
      <c r="S90" s="69">
        <f t="shared" si="29"/>
        <v>59.222141688022234</v>
      </c>
      <c r="T90" s="68">
        <f t="shared" si="18"/>
        <v>35.657821343261404</v>
      </c>
      <c r="U90" s="68">
        <f t="shared" si="19"/>
        <v>6.698178278684229</v>
      </c>
      <c r="V90" s="69">
        <f t="shared" si="20"/>
        <v>49.107032897363204</v>
      </c>
      <c r="W90" s="69">
        <f t="shared" si="21"/>
        <v>11.186573840227297</v>
      </c>
    </row>
    <row r="91" spans="1:23" x14ac:dyDescent="0.3">
      <c r="A91" s="59" t="s">
        <v>69</v>
      </c>
      <c r="B91" s="19" t="s">
        <v>24</v>
      </c>
      <c r="C91" s="22">
        <v>2</v>
      </c>
      <c r="D91" s="22">
        <v>1</v>
      </c>
      <c r="E91" s="22">
        <v>1</v>
      </c>
      <c r="F91" s="22">
        <v>143</v>
      </c>
      <c r="G91" s="22" t="s">
        <v>54</v>
      </c>
      <c r="H91" s="22">
        <f>SQRT(10^2+10.5^2)</f>
        <v>14.5</v>
      </c>
      <c r="I91" s="22">
        <v>9.4</v>
      </c>
      <c r="J91" s="65">
        <v>0.36301369863013699</v>
      </c>
      <c r="K91" s="70">
        <f t="shared" si="22"/>
        <v>43.606570238836049</v>
      </c>
      <c r="L91" s="70">
        <f t="shared" si="23"/>
        <v>48.209105550000004</v>
      </c>
      <c r="M91" s="70">
        <f t="shared" si="24"/>
        <v>34.81591685616111</v>
      </c>
      <c r="N91" s="68">
        <f t="shared" si="17"/>
        <v>67.162441968606117</v>
      </c>
      <c r="O91" s="69">
        <f t="shared" si="25"/>
        <v>40.105014691780831</v>
      </c>
      <c r="P91" s="69">
        <f t="shared" si="26"/>
        <v>41.234720124023347</v>
      </c>
      <c r="Q91" s="69">
        <f t="shared" si="27"/>
        <v>55.034210665303689</v>
      </c>
      <c r="R91" s="69">
        <f t="shared" si="28"/>
        <v>53.569700380720533</v>
      </c>
      <c r="S91" s="69">
        <f t="shared" si="29"/>
        <v>54.163413429687331</v>
      </c>
      <c r="T91" s="68">
        <f t="shared" si="18"/>
        <v>48.448508653400822</v>
      </c>
      <c r="U91" s="68">
        <f t="shared" si="19"/>
        <v>11.827516018721695</v>
      </c>
      <c r="V91" s="69">
        <f t="shared" si="20"/>
        <v>48.821411858303136</v>
      </c>
      <c r="W91" s="69">
        <f t="shared" si="21"/>
        <v>6.6815501903766323</v>
      </c>
    </row>
    <row r="92" spans="1:23" x14ac:dyDescent="0.3">
      <c r="A92" s="59" t="s">
        <v>69</v>
      </c>
      <c r="B92" s="19" t="s">
        <v>59</v>
      </c>
      <c r="C92" s="22">
        <v>2</v>
      </c>
      <c r="D92" s="22">
        <v>1</v>
      </c>
      <c r="E92" s="22">
        <v>1</v>
      </c>
      <c r="F92" s="22">
        <v>276</v>
      </c>
      <c r="G92" s="22" t="s">
        <v>54</v>
      </c>
      <c r="H92" s="29">
        <f>SQRT(12.2^2+9^2+8.4^2+11.8^2)</f>
        <v>20.967594044143453</v>
      </c>
      <c r="I92" s="22">
        <v>6.3</v>
      </c>
      <c r="J92" s="65">
        <v>0.42028985507246375</v>
      </c>
      <c r="K92" s="70">
        <f t="shared" si="22"/>
        <v>90.638665729245702</v>
      </c>
      <c r="L92" s="70">
        <f t="shared" si="23"/>
        <v>67.562072676</v>
      </c>
      <c r="M92" s="70">
        <f t="shared" si="24"/>
        <v>64.689873738553246</v>
      </c>
      <c r="N92" s="68">
        <f t="shared" si="17"/>
        <v>52.267042953778194</v>
      </c>
      <c r="O92" s="69">
        <f t="shared" si="25"/>
        <v>65.0726455826087</v>
      </c>
      <c r="P92" s="69">
        <f t="shared" si="26"/>
        <v>66.132972009403403</v>
      </c>
      <c r="Q92" s="69">
        <f t="shared" si="27"/>
        <v>122.47605978522188</v>
      </c>
      <c r="R92" s="69">
        <f t="shared" si="28"/>
        <v>147.05197801185687</v>
      </c>
      <c r="S92" s="69">
        <f t="shared" si="29"/>
        <v>147.6499578203825</v>
      </c>
      <c r="T92" s="68">
        <f t="shared" si="18"/>
        <v>68.789413774394291</v>
      </c>
      <c r="U92" s="68">
        <f t="shared" si="19"/>
        <v>13.86263992894021</v>
      </c>
      <c r="V92" s="69">
        <f t="shared" si="20"/>
        <v>109.67672264189468</v>
      </c>
      <c r="W92" s="69">
        <f t="shared" si="21"/>
        <v>37.116792007538791</v>
      </c>
    </row>
    <row r="93" spans="1:23" x14ac:dyDescent="0.3">
      <c r="A93" s="59" t="s">
        <v>69</v>
      </c>
      <c r="B93" s="19" t="s">
        <v>30</v>
      </c>
      <c r="C93" s="22">
        <v>2</v>
      </c>
      <c r="D93" s="22">
        <v>1</v>
      </c>
      <c r="E93" s="22">
        <v>1</v>
      </c>
      <c r="F93" s="22">
        <v>78</v>
      </c>
      <c r="G93" s="22" t="s">
        <v>54</v>
      </c>
      <c r="H93" s="29">
        <f>SQRT(11.5^2+6.6^2+5.4^2)</f>
        <v>14.316773379501402</v>
      </c>
      <c r="I93" s="22">
        <v>11.9</v>
      </c>
      <c r="J93" s="65">
        <v>0.42567567567567566</v>
      </c>
      <c r="K93" s="70">
        <f t="shared" si="22"/>
        <v>46.713518059013666</v>
      </c>
      <c r="L93" s="70">
        <f t="shared" si="23"/>
        <v>59.498015199000001</v>
      </c>
      <c r="M93" s="70">
        <f t="shared" si="24"/>
        <v>39.141214035992228</v>
      </c>
      <c r="N93" s="68">
        <f t="shared" si="17"/>
        <v>94.377420043817139</v>
      </c>
      <c r="O93" s="69">
        <f t="shared" si="25"/>
        <v>58.04006691283783</v>
      </c>
      <c r="P93" s="69">
        <f t="shared" si="26"/>
        <v>59.147933302101769</v>
      </c>
      <c r="Q93" s="69">
        <f t="shared" si="27"/>
        <v>68.910093621170745</v>
      </c>
      <c r="R93" s="69">
        <f t="shared" si="28"/>
        <v>62.414684830053559</v>
      </c>
      <c r="S93" s="69">
        <f t="shared" si="29"/>
        <v>62.532214149630988</v>
      </c>
      <c r="T93" s="68">
        <f t="shared" si="18"/>
        <v>59.932541834455762</v>
      </c>
      <c r="U93" s="68">
        <f t="shared" si="19"/>
        <v>21.175813735565871</v>
      </c>
      <c r="V93" s="69">
        <f t="shared" si="20"/>
        <v>62.208998563158978</v>
      </c>
      <c r="W93" s="69">
        <f t="shared" si="21"/>
        <v>3.7895002776022557</v>
      </c>
    </row>
    <row r="94" spans="1:23" x14ac:dyDescent="0.3">
      <c r="A94" s="59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22" t="s">
        <v>71</v>
      </c>
      <c r="H94" s="29">
        <f>SQRT(13^2 + 23^2)</f>
        <v>26.419689627245813</v>
      </c>
      <c r="I94" s="22">
        <v>16.7</v>
      </c>
      <c r="J94" s="65">
        <v>0.49367088607594939</v>
      </c>
      <c r="K94" s="70">
        <f t="shared" si="22"/>
        <v>240.94520938125982</v>
      </c>
      <c r="L94" s="70">
        <f t="shared" si="23"/>
        <v>284.33944380000003</v>
      </c>
      <c r="M94" s="70">
        <f t="shared" si="24"/>
        <v>204.82523372552254</v>
      </c>
      <c r="N94" s="68">
        <f t="shared" si="17"/>
        <v>278.48344451443529</v>
      </c>
      <c r="O94" s="69">
        <f t="shared" si="25"/>
        <v>321.67789443037975</v>
      </c>
      <c r="P94" s="69">
        <f t="shared" si="26"/>
        <v>314.61849402512235</v>
      </c>
      <c r="Q94" s="69">
        <f t="shared" si="27"/>
        <v>330.42201599446668</v>
      </c>
      <c r="R94" s="69">
        <f t="shared" si="28"/>
        <v>299.62401371176065</v>
      </c>
      <c r="S94" s="69">
        <f t="shared" si="29"/>
        <v>298.35263316399158</v>
      </c>
      <c r="T94" s="68">
        <f t="shared" si="18"/>
        <v>252.1483328553044</v>
      </c>
      <c r="U94" s="68">
        <f t="shared" si="19"/>
        <v>31.995278623472224</v>
      </c>
      <c r="V94" s="69">
        <f t="shared" si="20"/>
        <v>312.93901026514425</v>
      </c>
      <c r="W94" s="69">
        <f t="shared" si="21"/>
        <v>12.449062467821443</v>
      </c>
    </row>
    <row r="95" spans="1:23" x14ac:dyDescent="0.3">
      <c r="A95" s="59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22" t="s">
        <v>71</v>
      </c>
      <c r="H95" s="29">
        <f>SQRT(12.3^2 + 1.9^2)</f>
        <v>12.445882853377659</v>
      </c>
      <c r="I95" s="22">
        <v>11.5</v>
      </c>
      <c r="J95" s="65">
        <v>0.51980198019801982</v>
      </c>
      <c r="K95" s="70">
        <f t="shared" si="22"/>
        <v>32.70008719576299</v>
      </c>
      <c r="L95" s="70">
        <f t="shared" si="23"/>
        <v>43.452470550000008</v>
      </c>
      <c r="M95" s="70">
        <f t="shared" si="24"/>
        <v>27.546402947496741</v>
      </c>
      <c r="N95" s="68">
        <f t="shared" si="17"/>
        <v>78.616145747965604</v>
      </c>
      <c r="O95" s="69">
        <f t="shared" si="25"/>
        <v>51.760563490099017</v>
      </c>
      <c r="P95" s="69">
        <f t="shared" si="26"/>
        <v>52.893725791988182</v>
      </c>
      <c r="Q95" s="69">
        <f t="shared" si="27"/>
        <v>62.855699341717568</v>
      </c>
      <c r="R95" s="69">
        <f t="shared" si="28"/>
        <v>56.944341635229456</v>
      </c>
      <c r="S95" s="69">
        <f t="shared" si="29"/>
        <v>56.374479180247334</v>
      </c>
      <c r="T95" s="68">
        <f t="shared" si="18"/>
        <v>45.578776610306335</v>
      </c>
      <c r="U95" s="68">
        <f t="shared" si="19"/>
        <v>19.918685184717372</v>
      </c>
      <c r="V95" s="69">
        <f t="shared" si="20"/>
        <v>56.165761887856306</v>
      </c>
      <c r="W95" s="69">
        <f t="shared" si="21"/>
        <v>3.8863094473807842</v>
      </c>
    </row>
    <row r="96" spans="1:23" x14ac:dyDescent="0.3">
      <c r="A96" s="59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22" t="s">
        <v>71</v>
      </c>
      <c r="H96" s="22">
        <v>17.399999999999999</v>
      </c>
      <c r="I96" s="22">
        <v>12.7</v>
      </c>
      <c r="J96" s="65">
        <v>0.44144144144144143</v>
      </c>
      <c r="K96" s="70">
        <f t="shared" si="22"/>
        <v>77.334709965199011</v>
      </c>
      <c r="L96" s="70">
        <f t="shared" si="23"/>
        <v>93.792353435999971</v>
      </c>
      <c r="M96" s="70">
        <f t="shared" si="24"/>
        <v>64.542303500991537</v>
      </c>
      <c r="N96" s="68">
        <f t="shared" si="17"/>
        <v>124.94006305756919</v>
      </c>
      <c r="O96" s="69">
        <f t="shared" si="25"/>
        <v>94.882720118918883</v>
      </c>
      <c r="P96" s="69">
        <f t="shared" si="26"/>
        <v>95.559919524165508</v>
      </c>
      <c r="Q96" s="69">
        <f t="shared" si="27"/>
        <v>110.56717415446084</v>
      </c>
      <c r="R96" s="69">
        <f t="shared" si="28"/>
        <v>101.57960376046056</v>
      </c>
      <c r="S96" s="69">
        <f t="shared" si="29"/>
        <v>101.63506330314445</v>
      </c>
      <c r="T96" s="68">
        <f t="shared" si="18"/>
        <v>90.152357489939931</v>
      </c>
      <c r="U96" s="68">
        <f t="shared" si="19"/>
        <v>22.603102566532421</v>
      </c>
      <c r="V96" s="69">
        <f t="shared" si="20"/>
        <v>100.84489617223005</v>
      </c>
      <c r="W96" s="69">
        <f t="shared" si="21"/>
        <v>5.6420806438762519</v>
      </c>
    </row>
    <row r="97" spans="1:23" x14ac:dyDescent="0.3">
      <c r="A97" s="59" t="s">
        <v>70</v>
      </c>
      <c r="B97" s="19" t="s">
        <v>30</v>
      </c>
      <c r="C97" s="22">
        <v>2</v>
      </c>
      <c r="D97" s="22">
        <v>1</v>
      </c>
      <c r="E97" s="22">
        <v>1</v>
      </c>
      <c r="F97" s="12">
        <v>85</v>
      </c>
      <c r="G97" s="22" t="s">
        <v>71</v>
      </c>
      <c r="H97" s="29">
        <f>SQRT(12.7^2+16.1^2+17.1^2)</f>
        <v>26.700374529208389</v>
      </c>
      <c r="I97" s="22">
        <v>13.1</v>
      </c>
      <c r="J97" s="65">
        <v>0.5</v>
      </c>
      <c r="K97" s="70">
        <f t="shared" si="22"/>
        <v>223.08256938292945</v>
      </c>
      <c r="L97" s="70">
        <f t="shared" si="23"/>
        <v>227.80917855300004</v>
      </c>
      <c r="M97" s="70">
        <f t="shared" si="24"/>
        <v>180.48494315055913</v>
      </c>
      <c r="N97" s="68">
        <f t="shared" si="17"/>
        <v>195.73196494423371</v>
      </c>
      <c r="O97" s="69">
        <f t="shared" si="25"/>
        <v>261.02843195000003</v>
      </c>
      <c r="P97" s="69">
        <f t="shared" si="26"/>
        <v>256.58333558612424</v>
      </c>
      <c r="Q97" s="69">
        <f t="shared" si="27"/>
        <v>315.39895624992721</v>
      </c>
      <c r="R97" s="69">
        <f t="shared" si="28"/>
        <v>311.44325731835033</v>
      </c>
      <c r="S97" s="69">
        <f t="shared" si="29"/>
        <v>309.90866994907151</v>
      </c>
      <c r="T97" s="68">
        <f t="shared" si="18"/>
        <v>206.7771640076806</v>
      </c>
      <c r="U97" s="68">
        <f t="shared" si="19"/>
        <v>19.503135518657913</v>
      </c>
      <c r="V97" s="69">
        <f t="shared" si="20"/>
        <v>290.87253021069466</v>
      </c>
      <c r="W97" s="69">
        <f t="shared" si="21"/>
        <v>26.281149415998762</v>
      </c>
    </row>
    <row r="98" spans="1:23" x14ac:dyDescent="0.3">
      <c r="A98" s="59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22" t="s">
        <v>71</v>
      </c>
      <c r="H98" s="22">
        <v>10.199999999999999</v>
      </c>
      <c r="I98" s="22">
        <v>9.5</v>
      </c>
      <c r="J98" s="65">
        <v>0.4494949494949495</v>
      </c>
      <c r="K98" s="70">
        <f t="shared" si="22"/>
        <v>18.545241967789813</v>
      </c>
      <c r="L98" s="70">
        <f t="shared" si="23"/>
        <v>24.109553339999998</v>
      </c>
      <c r="M98" s="70">
        <f t="shared" si="24"/>
        <v>15.299452983020773</v>
      </c>
      <c r="N98" s="68">
        <f t="shared" si="17"/>
        <v>49.017861542719849</v>
      </c>
      <c r="O98" s="69">
        <f t="shared" si="25"/>
        <v>24.834794636363636</v>
      </c>
      <c r="P98" s="69">
        <f t="shared" si="26"/>
        <v>25.829753348130183</v>
      </c>
      <c r="Q98" s="69">
        <f t="shared" si="27"/>
        <v>33.098073540042442</v>
      </c>
      <c r="R98" s="69">
        <f t="shared" si="28"/>
        <v>30.616523681311946</v>
      </c>
      <c r="S98" s="69">
        <f t="shared" si="29"/>
        <v>30.539588845476391</v>
      </c>
      <c r="T98" s="68">
        <f t="shared" ref="T98:T129" si="30">AVERAGE(K98:N98)</f>
        <v>26.743027458382606</v>
      </c>
      <c r="U98" s="68">
        <f t="shared" ref="U98:U129" si="31">_xlfn.STDEV.P(K98:N98)</f>
        <v>13.240680714561753</v>
      </c>
      <c r="V98" s="69">
        <f t="shared" ref="V98:V129" si="32">AVERAGE(O98:S98)</f>
        <v>28.983746810264922</v>
      </c>
      <c r="W98" s="69">
        <f t="shared" ref="W98:W129" si="33">_xlfn.STDEV.P(O98:S98)</f>
        <v>3.1361048480249085</v>
      </c>
    </row>
    <row r="99" spans="1:23" x14ac:dyDescent="0.3">
      <c r="A99" s="59" t="s">
        <v>70</v>
      </c>
      <c r="B99" s="19" t="s">
        <v>30</v>
      </c>
      <c r="C99" s="22">
        <v>2</v>
      </c>
      <c r="D99" s="22">
        <v>2</v>
      </c>
      <c r="E99" s="22">
        <v>0</v>
      </c>
      <c r="F99" s="22">
        <v>800</v>
      </c>
      <c r="G99" s="22" t="s">
        <v>71</v>
      </c>
      <c r="H99" s="22">
        <v>14.6</v>
      </c>
      <c r="I99" s="22">
        <v>6.5</v>
      </c>
      <c r="J99" s="65">
        <v>0.52631578947368418</v>
      </c>
      <c r="K99" s="70">
        <f t="shared" si="22"/>
        <v>37.929560304354879</v>
      </c>
      <c r="L99" s="70">
        <f t="shared" si="23"/>
        <v>33.797477220000005</v>
      </c>
      <c r="M99" s="70">
        <f t="shared" si="24"/>
        <v>28.112473855569132</v>
      </c>
      <c r="N99" s="68">
        <f t="shared" si="17"/>
        <v>38.967033432307588</v>
      </c>
      <c r="O99" s="69">
        <f t="shared" si="25"/>
        <v>40.76404526315789</v>
      </c>
      <c r="P99" s="69">
        <f t="shared" si="26"/>
        <v>41.89592276451657</v>
      </c>
      <c r="Q99" s="69">
        <f t="shared" si="27"/>
        <v>73.485751503146403</v>
      </c>
      <c r="R99" s="69">
        <f t="shared" si="28"/>
        <v>83.17343886873698</v>
      </c>
      <c r="S99" s="69">
        <f t="shared" si="29"/>
        <v>82.332488864537765</v>
      </c>
      <c r="T99" s="68">
        <f t="shared" si="30"/>
        <v>34.701636203057902</v>
      </c>
      <c r="U99" s="68">
        <f t="shared" si="31"/>
        <v>4.2675423675469188</v>
      </c>
      <c r="V99" s="69">
        <f t="shared" si="32"/>
        <v>64.330329452819129</v>
      </c>
      <c r="W99" s="69">
        <f t="shared" si="33"/>
        <v>19.087349857058879</v>
      </c>
    </row>
    <row r="100" spans="1:23" x14ac:dyDescent="0.3">
      <c r="A100" s="59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22" t="s">
        <v>21</v>
      </c>
      <c r="H100" s="22">
        <v>10.9</v>
      </c>
      <c r="I100" s="22">
        <v>8.9</v>
      </c>
      <c r="J100" s="65">
        <v>0.5536723163841808</v>
      </c>
      <c r="K100" s="70">
        <f t="shared" si="22"/>
        <v>21.215990492432166</v>
      </c>
      <c r="L100" s="70">
        <f t="shared" si="23"/>
        <v>25.793377737000004</v>
      </c>
      <c r="M100" s="70">
        <f t="shared" si="24"/>
        <v>17.176328944416444</v>
      </c>
      <c r="N100" s="68">
        <f t="shared" si="17"/>
        <v>47.331361483965239</v>
      </c>
      <c r="O100" s="69">
        <f t="shared" si="25"/>
        <v>32.727107253107349</v>
      </c>
      <c r="P100" s="69">
        <f t="shared" si="26"/>
        <v>33.813566190380449</v>
      </c>
      <c r="Q100" s="69">
        <f t="shared" si="27"/>
        <v>46.611329407870159</v>
      </c>
      <c r="R100" s="69">
        <f t="shared" si="28"/>
        <v>45.205678568242298</v>
      </c>
      <c r="S100" s="69">
        <f t="shared" si="29"/>
        <v>44.569800742523263</v>
      </c>
      <c r="T100" s="68">
        <f t="shared" si="30"/>
        <v>27.879264664453462</v>
      </c>
      <c r="U100" s="68">
        <f t="shared" si="31"/>
        <v>11.63708566038499</v>
      </c>
      <c r="V100" s="69">
        <f t="shared" si="32"/>
        <v>40.585496432424705</v>
      </c>
      <c r="W100" s="69">
        <f t="shared" si="33"/>
        <v>6.0190488708481098</v>
      </c>
    </row>
    <row r="101" spans="1:23" x14ac:dyDescent="0.3">
      <c r="A101" s="59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22" t="s">
        <v>21</v>
      </c>
      <c r="H101" s="22">
        <v>12.7</v>
      </c>
      <c r="I101" s="22">
        <v>14.6</v>
      </c>
      <c r="J101" s="65">
        <v>0.56756756756756754</v>
      </c>
      <c r="K101" s="70">
        <f t="shared" si="22"/>
        <v>38.010640786993164</v>
      </c>
      <c r="L101" s="70">
        <f t="shared" si="23"/>
        <v>57.441465762</v>
      </c>
      <c r="M101" s="70">
        <f t="shared" si="24"/>
        <v>33.526584031306712</v>
      </c>
      <c r="N101" s="68">
        <f t="shared" si="17"/>
        <v>114.43127533021973</v>
      </c>
      <c r="O101" s="69">
        <f t="shared" si="25"/>
        <v>74.711881962162153</v>
      </c>
      <c r="P101" s="69">
        <f t="shared" si="26"/>
        <v>75.677968221351819</v>
      </c>
      <c r="Q101" s="69">
        <f t="shared" si="27"/>
        <v>78.20390633865253</v>
      </c>
      <c r="R101" s="69">
        <f t="shared" si="28"/>
        <v>65.933522631117015</v>
      </c>
      <c r="S101" s="69">
        <f t="shared" si="29"/>
        <v>64.951852896725327</v>
      </c>
      <c r="T101" s="68">
        <f t="shared" si="30"/>
        <v>60.852491477629904</v>
      </c>
      <c r="U101" s="68">
        <f t="shared" si="31"/>
        <v>32.213260221116975</v>
      </c>
      <c r="V101" s="69">
        <f t="shared" si="32"/>
        <v>71.895826410001774</v>
      </c>
      <c r="W101" s="69">
        <f t="shared" si="33"/>
        <v>5.3998976369010983</v>
      </c>
    </row>
    <row r="102" spans="1:23" x14ac:dyDescent="0.3">
      <c r="A102" s="59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22" t="s">
        <v>21</v>
      </c>
      <c r="H102" s="22">
        <v>13.6</v>
      </c>
      <c r="I102" s="22">
        <v>16.100000000000001</v>
      </c>
      <c r="J102" s="65">
        <v>0.64782608695652177</v>
      </c>
      <c r="K102" s="70">
        <f t="shared" si="22"/>
        <v>46.83284013181116</v>
      </c>
      <c r="L102" s="70">
        <f t="shared" si="23"/>
        <v>72.638841408000005</v>
      </c>
      <c r="M102" s="70">
        <f t="shared" si="24"/>
        <v>41.873697027292877</v>
      </c>
      <c r="N102" s="68">
        <f t="shared" si="17"/>
        <v>141.22896600706767</v>
      </c>
      <c r="O102" s="69">
        <f t="shared" si="25"/>
        <v>107.83852352</v>
      </c>
      <c r="P102" s="69">
        <f t="shared" si="26"/>
        <v>108.27507628589575</v>
      </c>
      <c r="Q102" s="69">
        <f t="shared" si="27"/>
        <v>107.71453905887574</v>
      </c>
      <c r="R102" s="69">
        <f t="shared" si="28"/>
        <v>89.666579416262209</v>
      </c>
      <c r="S102" s="69">
        <f t="shared" si="29"/>
        <v>87.689781632143635</v>
      </c>
      <c r="T102" s="68">
        <f t="shared" si="30"/>
        <v>75.643586143542933</v>
      </c>
      <c r="U102" s="68">
        <f t="shared" si="31"/>
        <v>39.626175185869712</v>
      </c>
      <c r="V102" s="69">
        <f t="shared" si="32"/>
        <v>100.23689998263548</v>
      </c>
      <c r="W102" s="69">
        <f t="shared" si="33"/>
        <v>9.4601680811470512</v>
      </c>
    </row>
    <row r="103" spans="1:23" x14ac:dyDescent="0.3">
      <c r="A103" s="59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22" t="s">
        <v>21</v>
      </c>
      <c r="H103" s="22">
        <v>10.6</v>
      </c>
      <c r="I103" s="22">
        <v>7.7</v>
      </c>
      <c r="J103" s="65">
        <v>0.55102040816326525</v>
      </c>
      <c r="K103" s="70">
        <f t="shared" si="22"/>
        <v>18.638202678656064</v>
      </c>
      <c r="L103" s="70">
        <f t="shared" si="23"/>
        <v>21.104140596000001</v>
      </c>
      <c r="M103" s="70">
        <f t="shared" si="24"/>
        <v>14.694186395471554</v>
      </c>
      <c r="N103" s="68">
        <f t="shared" si="17"/>
        <v>37.139026396509038</v>
      </c>
      <c r="O103" s="69">
        <f t="shared" si="25"/>
        <v>26.649063257142853</v>
      </c>
      <c r="P103" s="69">
        <f t="shared" si="26"/>
        <v>27.669844641226401</v>
      </c>
      <c r="Q103" s="69">
        <f t="shared" si="27"/>
        <v>41.618413343797918</v>
      </c>
      <c r="R103" s="69">
        <f t="shared" si="28"/>
        <v>42.181849907505196</v>
      </c>
      <c r="S103" s="69">
        <f t="shared" si="29"/>
        <v>41.595497603414394</v>
      </c>
      <c r="T103" s="68">
        <f t="shared" si="30"/>
        <v>22.893889016659166</v>
      </c>
      <c r="U103" s="68">
        <f t="shared" si="31"/>
        <v>8.5362920472448867</v>
      </c>
      <c r="V103" s="69">
        <f t="shared" si="32"/>
        <v>35.94293375061735</v>
      </c>
      <c r="W103" s="69">
        <f t="shared" si="33"/>
        <v>7.1820143928654518</v>
      </c>
    </row>
    <row r="104" spans="1:23" x14ac:dyDescent="0.3">
      <c r="A104" s="59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22" t="s">
        <v>21</v>
      </c>
      <c r="H104" s="22">
        <v>13.8</v>
      </c>
      <c r="I104" s="22">
        <v>12.8</v>
      </c>
      <c r="J104" s="65">
        <v>0.61440677966101698</v>
      </c>
      <c r="K104" s="70">
        <f t="shared" si="22"/>
        <v>44.039695834457007</v>
      </c>
      <c r="L104" s="70">
        <f t="shared" si="23"/>
        <v>59.461157376000017</v>
      </c>
      <c r="M104" s="70">
        <f t="shared" si="24"/>
        <v>37.56287616048747</v>
      </c>
      <c r="N104" s="68">
        <f t="shared" si="17"/>
        <v>101.65679572469709</v>
      </c>
      <c r="O104" s="69">
        <f t="shared" si="25"/>
        <v>83.721297355932222</v>
      </c>
      <c r="P104" s="69">
        <f t="shared" si="26"/>
        <v>84.572472313041146</v>
      </c>
      <c r="Q104" s="69">
        <f t="shared" si="27"/>
        <v>97.053024565573054</v>
      </c>
      <c r="R104" s="69">
        <f t="shared" si="28"/>
        <v>87.265334648048267</v>
      </c>
      <c r="S104" s="69">
        <f t="shared" si="29"/>
        <v>85.604713077009251</v>
      </c>
      <c r="T104" s="68">
        <f t="shared" si="30"/>
        <v>60.680131273910391</v>
      </c>
      <c r="U104" s="68">
        <f t="shared" si="31"/>
        <v>24.959389528140747</v>
      </c>
      <c r="V104" s="69">
        <f t="shared" si="32"/>
        <v>87.643368391920802</v>
      </c>
      <c r="W104" s="69">
        <f t="shared" si="33"/>
        <v>4.8508493740683045</v>
      </c>
    </row>
    <row r="105" spans="1:23" x14ac:dyDescent="0.3">
      <c r="A105" s="59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22" t="s">
        <v>21</v>
      </c>
      <c r="H105" s="22">
        <v>12.1</v>
      </c>
      <c r="I105" s="22">
        <v>7.7</v>
      </c>
      <c r="J105" s="65">
        <v>0.51502145922746778</v>
      </c>
      <c r="K105" s="70">
        <f t="shared" si="22"/>
        <v>25.75413237671869</v>
      </c>
      <c r="L105" s="70">
        <f t="shared" si="23"/>
        <v>27.499619301000003</v>
      </c>
      <c r="M105" s="70">
        <f t="shared" si="24"/>
        <v>20.071734545313468</v>
      </c>
      <c r="N105" s="68">
        <f t="shared" si="17"/>
        <v>42.060419543499677</v>
      </c>
      <c r="O105" s="69">
        <f t="shared" si="25"/>
        <v>32.456269339055794</v>
      </c>
      <c r="P105" s="69">
        <f t="shared" si="26"/>
        <v>33.540425826412473</v>
      </c>
      <c r="Q105" s="69">
        <f t="shared" si="27"/>
        <v>51.164125329074061</v>
      </c>
      <c r="R105" s="69">
        <f t="shared" si="28"/>
        <v>52.833380450112529</v>
      </c>
      <c r="S105" s="69">
        <f t="shared" si="29"/>
        <v>52.326654857802694</v>
      </c>
      <c r="T105" s="68">
        <f t="shared" si="30"/>
        <v>28.846476441632959</v>
      </c>
      <c r="U105" s="68">
        <f t="shared" si="31"/>
        <v>8.1083445230743667</v>
      </c>
      <c r="V105" s="69">
        <f t="shared" si="32"/>
        <v>44.464171160491503</v>
      </c>
      <c r="W105" s="69">
        <f t="shared" si="33"/>
        <v>9.3837052187515528</v>
      </c>
    </row>
    <row r="106" spans="1:23" x14ac:dyDescent="0.3">
      <c r="A106" s="59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22" t="s">
        <v>68</v>
      </c>
      <c r="H106" s="22">
        <v>28.2</v>
      </c>
      <c r="I106" s="22">
        <v>12</v>
      </c>
      <c r="J106" s="65">
        <v>0.39212007504690433</v>
      </c>
      <c r="K106" s="70">
        <f t="shared" si="22"/>
        <v>245.64941979469467</v>
      </c>
      <c r="L106" s="70">
        <f t="shared" si="23"/>
        <v>232.77947184000004</v>
      </c>
      <c r="M106" s="70">
        <f t="shared" si="24"/>
        <v>194.35995473979219</v>
      </c>
      <c r="N106" s="68">
        <f t="shared" si="17"/>
        <v>180.75814264914587</v>
      </c>
      <c r="O106" s="69">
        <f t="shared" si="25"/>
        <v>209.17527453658539</v>
      </c>
      <c r="P106" s="69">
        <f t="shared" si="26"/>
        <v>206.70893005715371</v>
      </c>
      <c r="Q106" s="69">
        <f t="shared" si="27"/>
        <v>264.42669039913932</v>
      </c>
      <c r="R106" s="69">
        <f t="shared" si="28"/>
        <v>267.32359547982895</v>
      </c>
      <c r="S106" s="69">
        <f t="shared" si="29"/>
        <v>269.77967401325299</v>
      </c>
      <c r="T106" s="68">
        <f t="shared" si="30"/>
        <v>213.38674725590818</v>
      </c>
      <c r="U106" s="68">
        <f t="shared" si="31"/>
        <v>26.66271965767568</v>
      </c>
      <c r="V106" s="69">
        <f t="shared" si="32"/>
        <v>243.48283289719211</v>
      </c>
      <c r="W106" s="69">
        <f t="shared" si="33"/>
        <v>29.078787701765851</v>
      </c>
    </row>
    <row r="107" spans="1:23" x14ac:dyDescent="0.3">
      <c r="A107" s="59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22" t="s">
        <v>68</v>
      </c>
      <c r="H107" s="22">
        <v>17.100000000000001</v>
      </c>
      <c r="I107" s="22">
        <v>18.8</v>
      </c>
      <c r="J107" s="65">
        <v>0.35628742514970058</v>
      </c>
      <c r="K107" s="70">
        <f t="shared" si="22"/>
        <v>87.514860685528873</v>
      </c>
      <c r="L107" s="70">
        <f t="shared" si="23"/>
        <v>134.09583404400004</v>
      </c>
      <c r="M107" s="70">
        <f t="shared" si="24"/>
        <v>79.11925129979619</v>
      </c>
      <c r="N107" s="68">
        <f t="shared" si="17"/>
        <v>220.78846970540772</v>
      </c>
      <c r="O107" s="69">
        <f t="shared" si="25"/>
        <v>109.48695373293414</v>
      </c>
      <c r="P107" s="69">
        <f t="shared" si="26"/>
        <v>109.89016242522811</v>
      </c>
      <c r="Q107" s="69">
        <f t="shared" si="27"/>
        <v>96.687492077359821</v>
      </c>
      <c r="R107" s="69">
        <f t="shared" si="28"/>
        <v>76.42851348883255</v>
      </c>
      <c r="S107" s="69">
        <f t="shared" si="29"/>
        <v>77.406637842228903</v>
      </c>
      <c r="T107" s="68">
        <f t="shared" si="30"/>
        <v>130.3796039336832</v>
      </c>
      <c r="U107" s="68">
        <f t="shared" si="31"/>
        <v>56.241851281414895</v>
      </c>
      <c r="V107" s="69">
        <f t="shared" si="32"/>
        <v>93.979951913316711</v>
      </c>
      <c r="W107" s="69">
        <f t="shared" si="33"/>
        <v>14.721823309456148</v>
      </c>
    </row>
    <row r="108" spans="1:23" x14ac:dyDescent="0.3">
      <c r="A108" s="59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22" t="s">
        <v>68</v>
      </c>
      <c r="H108" s="22">
        <v>17.3</v>
      </c>
      <c r="I108" s="22">
        <v>17.399999999999999</v>
      </c>
      <c r="J108" s="65">
        <v>0.36792452830188677</v>
      </c>
      <c r="K108" s="70">
        <f t="shared" si="22"/>
        <v>87.133280508749834</v>
      </c>
      <c r="L108" s="70">
        <f t="shared" si="23"/>
        <v>127.03010887800001</v>
      </c>
      <c r="M108" s="70">
        <f t="shared" si="24"/>
        <v>77.485904694327573</v>
      </c>
      <c r="N108" s="68">
        <f t="shared" si="17"/>
        <v>198.85633123630345</v>
      </c>
      <c r="O108" s="69">
        <f t="shared" si="25"/>
        <v>107.10555702452828</v>
      </c>
      <c r="P108" s="69">
        <f t="shared" si="26"/>
        <v>107.55674627784676</v>
      </c>
      <c r="Q108" s="69">
        <f t="shared" si="27"/>
        <v>99.915274994187001</v>
      </c>
      <c r="R108" s="69">
        <f t="shared" si="28"/>
        <v>81.42022914219757</v>
      </c>
      <c r="S108" s="69">
        <f t="shared" si="29"/>
        <v>82.314678418940929</v>
      </c>
      <c r="T108" s="68">
        <f t="shared" si="30"/>
        <v>122.62640632934522</v>
      </c>
      <c r="U108" s="68">
        <f t="shared" si="31"/>
        <v>47.769815040031212</v>
      </c>
      <c r="V108" s="69">
        <f t="shared" si="32"/>
        <v>95.662497171540096</v>
      </c>
      <c r="W108" s="69">
        <f t="shared" si="33"/>
        <v>11.588868485599585</v>
      </c>
    </row>
    <row r="109" spans="1:23" x14ac:dyDescent="0.3">
      <c r="A109" s="59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22" t="s">
        <v>68</v>
      </c>
      <c r="H109" s="22">
        <v>18.3</v>
      </c>
      <c r="I109" s="22">
        <v>12.5</v>
      </c>
      <c r="J109" s="65">
        <v>0.34</v>
      </c>
      <c r="K109" s="70">
        <f t="shared" si="22"/>
        <v>86.889694113665016</v>
      </c>
      <c r="L109" s="70">
        <f t="shared" si="23"/>
        <v>102.11214712500004</v>
      </c>
      <c r="M109" s="70">
        <f t="shared" si="24"/>
        <v>71.970233340298805</v>
      </c>
      <c r="N109" s="68">
        <f t="shared" si="17"/>
        <v>127.93822863509165</v>
      </c>
      <c r="O109" s="69">
        <f t="shared" si="25"/>
        <v>79.561491750000016</v>
      </c>
      <c r="P109" s="69">
        <f t="shared" si="26"/>
        <v>80.468737409728789</v>
      </c>
      <c r="Q109" s="69">
        <f t="shared" si="27"/>
        <v>92.33571118051573</v>
      </c>
      <c r="R109" s="69">
        <f t="shared" si="28"/>
        <v>84.59159287299839</v>
      </c>
      <c r="S109" s="69">
        <f t="shared" si="29"/>
        <v>85.925543013891641</v>
      </c>
      <c r="T109" s="68">
        <f t="shared" si="30"/>
        <v>97.227575803513886</v>
      </c>
      <c r="U109" s="68">
        <f t="shared" si="31"/>
        <v>20.687003048253629</v>
      </c>
      <c r="V109" s="69">
        <f t="shared" si="32"/>
        <v>84.576615245426908</v>
      </c>
      <c r="W109" s="69">
        <f t="shared" si="33"/>
        <v>4.5617874604408639</v>
      </c>
    </row>
    <row r="110" spans="1:23" x14ac:dyDescent="0.3">
      <c r="A110" s="59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22" t="s">
        <v>68</v>
      </c>
      <c r="H110" s="22">
        <v>12.6</v>
      </c>
      <c r="I110" s="22">
        <v>13</v>
      </c>
      <c r="J110" s="65">
        <v>0.39171974522292996</v>
      </c>
      <c r="K110" s="70">
        <f t="shared" si="22"/>
        <v>35.494670894729211</v>
      </c>
      <c r="L110" s="70">
        <f t="shared" si="23"/>
        <v>50.344224840000003</v>
      </c>
      <c r="M110" s="70">
        <f t="shared" si="24"/>
        <v>30.610020310895951</v>
      </c>
      <c r="N110" s="68">
        <f t="shared" si="17"/>
        <v>95.509005216350289</v>
      </c>
      <c r="O110" s="69">
        <f t="shared" si="25"/>
        <v>45.193056420382163</v>
      </c>
      <c r="P110" s="69">
        <f t="shared" si="26"/>
        <v>46.33307588428837</v>
      </c>
      <c r="Q110" s="69">
        <f t="shared" si="27"/>
        <v>49.590999913035567</v>
      </c>
      <c r="R110" s="69">
        <f t="shared" si="28"/>
        <v>42.397283233633587</v>
      </c>
      <c r="S110" s="69">
        <f t="shared" si="29"/>
        <v>42.658516872388333</v>
      </c>
      <c r="T110" s="68">
        <f t="shared" si="30"/>
        <v>52.989480315493864</v>
      </c>
      <c r="U110" s="68">
        <f t="shared" si="31"/>
        <v>25.601835681701868</v>
      </c>
      <c r="V110" s="69">
        <f t="shared" si="32"/>
        <v>45.234586464745604</v>
      </c>
      <c r="W110" s="69">
        <f t="shared" si="33"/>
        <v>2.6409530874977816</v>
      </c>
    </row>
    <row r="111" spans="1:23" x14ac:dyDescent="0.3">
      <c r="A111" s="59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22" t="s">
        <v>68</v>
      </c>
      <c r="H111" s="22">
        <v>26.5</v>
      </c>
      <c r="I111" s="22">
        <v>16.3</v>
      </c>
      <c r="J111" s="65">
        <v>0.41425818882466281</v>
      </c>
      <c r="K111" s="70">
        <f t="shared" si="22"/>
        <v>240.25862504870284</v>
      </c>
      <c r="L111" s="70">
        <f t="shared" si="23"/>
        <v>279.21874327500007</v>
      </c>
      <c r="M111" s="70">
        <f t="shared" si="24"/>
        <v>203.19990764302071</v>
      </c>
      <c r="N111" s="68">
        <f t="shared" si="17"/>
        <v>269.3499012533162</v>
      </c>
      <c r="O111" s="69">
        <f t="shared" si="25"/>
        <v>265.0710279142582</v>
      </c>
      <c r="P111" s="69">
        <f t="shared" si="26"/>
        <v>260.46100241808335</v>
      </c>
      <c r="Q111" s="69">
        <f t="shared" si="27"/>
        <v>273.04816205079283</v>
      </c>
      <c r="R111" s="69">
        <f t="shared" si="28"/>
        <v>246.94367299360809</v>
      </c>
      <c r="S111" s="69">
        <f t="shared" si="29"/>
        <v>248.37350863620463</v>
      </c>
      <c r="T111" s="68">
        <f t="shared" si="30"/>
        <v>248.00679430500992</v>
      </c>
      <c r="U111" s="68">
        <f t="shared" si="31"/>
        <v>29.569431816814202</v>
      </c>
      <c r="V111" s="69">
        <f t="shared" si="32"/>
        <v>258.77947480258939</v>
      </c>
      <c r="W111" s="69">
        <f t="shared" si="33"/>
        <v>9.943610488983273</v>
      </c>
    </row>
    <row r="112" spans="1:23" x14ac:dyDescent="0.3">
      <c r="A112" s="59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22" t="s">
        <v>21</v>
      </c>
      <c r="H112" s="22">
        <v>26.2</v>
      </c>
      <c r="I112" s="22">
        <v>25.4</v>
      </c>
      <c r="J112" s="65">
        <v>0.71966527196652719</v>
      </c>
      <c r="K112" s="70">
        <f t="shared" si="22"/>
        <v>281.96999082390749</v>
      </c>
      <c r="L112" s="70">
        <f t="shared" si="23"/>
        <v>425.30600536799994</v>
      </c>
      <c r="M112" s="70">
        <f t="shared" si="24"/>
        <v>260.86112578540911</v>
      </c>
      <c r="N112" s="68">
        <f t="shared" si="17"/>
        <v>516.81003094250354</v>
      </c>
      <c r="O112" s="69">
        <f t="shared" si="25"/>
        <v>701.42082060585767</v>
      </c>
      <c r="P112" s="69">
        <f t="shared" si="26"/>
        <v>673.31192321658455</v>
      </c>
      <c r="Q112" s="69">
        <f t="shared" si="27"/>
        <v>561.8682444819467</v>
      </c>
      <c r="R112" s="69">
        <f t="shared" si="28"/>
        <v>452.11296238163447</v>
      </c>
      <c r="S112" s="69">
        <f t="shared" si="29"/>
        <v>440.59499964297055</v>
      </c>
      <c r="T112" s="68">
        <f t="shared" si="30"/>
        <v>371.23678822995504</v>
      </c>
      <c r="U112" s="68">
        <f t="shared" si="31"/>
        <v>105.19790541518897</v>
      </c>
      <c r="V112" s="69">
        <f t="shared" si="32"/>
        <v>565.8617900657988</v>
      </c>
      <c r="W112" s="69">
        <f t="shared" si="33"/>
        <v>108.22965847102272</v>
      </c>
    </row>
    <row r="113" spans="1:23" x14ac:dyDescent="0.3">
      <c r="A113" s="59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22" t="s">
        <v>21</v>
      </c>
      <c r="H113" s="22">
        <v>13.4</v>
      </c>
      <c r="I113" s="22">
        <v>9.1999999999999993</v>
      </c>
      <c r="J113" s="65">
        <v>0.52684563758389258</v>
      </c>
      <c r="K113" s="70">
        <f t="shared" si="22"/>
        <v>35.635123737706081</v>
      </c>
      <c r="L113" s="70">
        <f t="shared" si="23"/>
        <v>40.296065136000003</v>
      </c>
      <c r="M113" s="70">
        <f t="shared" si="24"/>
        <v>28.524539263019143</v>
      </c>
      <c r="N113" s="68">
        <f t="shared" si="17"/>
        <v>60.389994146942342</v>
      </c>
      <c r="O113" s="69">
        <f t="shared" si="25"/>
        <v>48.651095092617439</v>
      </c>
      <c r="P113" s="69">
        <f t="shared" si="26"/>
        <v>49.790161749182154</v>
      </c>
      <c r="Q113" s="69">
        <f t="shared" si="27"/>
        <v>69.084035106412657</v>
      </c>
      <c r="R113" s="69">
        <f t="shared" si="28"/>
        <v>68.45445714685799</v>
      </c>
      <c r="S113" s="69">
        <f t="shared" si="29"/>
        <v>67.736354878089429</v>
      </c>
      <c r="T113" s="68">
        <f t="shared" si="30"/>
        <v>41.211430570916889</v>
      </c>
      <c r="U113" s="68">
        <f t="shared" si="31"/>
        <v>11.839632634457214</v>
      </c>
      <c r="V113" s="69">
        <f t="shared" si="32"/>
        <v>60.743220794631931</v>
      </c>
      <c r="W113" s="69">
        <f t="shared" si="33"/>
        <v>9.4247045600288377</v>
      </c>
    </row>
    <row r="114" spans="1:23" x14ac:dyDescent="0.3">
      <c r="A114" s="59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22" t="s">
        <v>21</v>
      </c>
      <c r="H114" s="22">
        <v>18.2</v>
      </c>
      <c r="I114" s="22">
        <v>15.5</v>
      </c>
      <c r="J114" s="65">
        <v>0.48806366047745359</v>
      </c>
      <c r="K114" s="70">
        <f t="shared" si="22"/>
        <v>93.913369430866794</v>
      </c>
      <c r="L114" s="70">
        <f t="shared" si="23"/>
        <v>125.23902845999999</v>
      </c>
      <c r="M114" s="70">
        <f t="shared" si="24"/>
        <v>81.246502331361285</v>
      </c>
      <c r="N114" s="68">
        <f t="shared" si="17"/>
        <v>175.49391333885745</v>
      </c>
      <c r="O114" s="69">
        <f t="shared" si="25"/>
        <v>140.07568496551721</v>
      </c>
      <c r="P114" s="69">
        <f t="shared" si="26"/>
        <v>139.76266990555814</v>
      </c>
      <c r="Q114" s="69">
        <f t="shared" si="27"/>
        <v>144.94334119994252</v>
      </c>
      <c r="R114" s="69">
        <f t="shared" si="28"/>
        <v>126.24041006442975</v>
      </c>
      <c r="S114" s="69">
        <f t="shared" si="29"/>
        <v>125.60874480900881</v>
      </c>
      <c r="T114" s="68">
        <f t="shared" si="30"/>
        <v>118.97320339027138</v>
      </c>
      <c r="U114" s="68">
        <f t="shared" si="31"/>
        <v>36.349520174817719</v>
      </c>
      <c r="V114" s="69">
        <f t="shared" si="32"/>
        <v>135.3261701888913</v>
      </c>
      <c r="W114" s="69">
        <f t="shared" si="33"/>
        <v>7.8956923908928554</v>
      </c>
    </row>
    <row r="115" spans="1:23" x14ac:dyDescent="0.3">
      <c r="A115" s="59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22" t="s">
        <v>21</v>
      </c>
      <c r="H115" s="22">
        <v>13.7</v>
      </c>
      <c r="I115" s="22">
        <v>8.9</v>
      </c>
      <c r="J115" s="65">
        <v>0.50764525993883791</v>
      </c>
      <c r="K115" s="70">
        <f t="shared" si="22"/>
        <v>37.091472251702669</v>
      </c>
      <c r="L115" s="70">
        <f t="shared" si="23"/>
        <v>40.747067312999995</v>
      </c>
      <c r="M115" s="70">
        <f t="shared" si="24"/>
        <v>29.437278662574503</v>
      </c>
      <c r="N115" s="68">
        <f t="shared" si="17"/>
        <v>58.682250152619801</v>
      </c>
      <c r="O115" s="69">
        <f t="shared" si="25"/>
        <v>47.402722371253816</v>
      </c>
      <c r="P115" s="69">
        <f t="shared" si="26"/>
        <v>48.542835974039988</v>
      </c>
      <c r="Q115" s="69">
        <f t="shared" si="27"/>
        <v>68.771291653211193</v>
      </c>
      <c r="R115" s="69">
        <f t="shared" si="28"/>
        <v>69.01634104241144</v>
      </c>
      <c r="S115" s="69">
        <f t="shared" si="29"/>
        <v>68.443023844805893</v>
      </c>
      <c r="T115" s="68">
        <f t="shared" si="30"/>
        <v>41.489517094974246</v>
      </c>
      <c r="U115" s="68">
        <f t="shared" si="31"/>
        <v>10.732433919492019</v>
      </c>
      <c r="V115" s="69">
        <f t="shared" si="32"/>
        <v>60.435242977144469</v>
      </c>
      <c r="W115" s="69">
        <f t="shared" si="33"/>
        <v>10.183569547368164</v>
      </c>
    </row>
    <row r="116" spans="1:23" x14ac:dyDescent="0.3">
      <c r="A116" s="59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22" t="s">
        <v>21</v>
      </c>
      <c r="H116" s="22">
        <v>13.9</v>
      </c>
      <c r="I116" s="22">
        <v>12.3</v>
      </c>
      <c r="J116" s="65">
        <v>0.54304635761589404</v>
      </c>
      <c r="K116" s="70">
        <f t="shared" si="22"/>
        <v>44.073303437249265</v>
      </c>
      <c r="L116" s="70">
        <f t="shared" si="23"/>
        <v>57.969549819000008</v>
      </c>
      <c r="M116" s="70">
        <f t="shared" si="24"/>
        <v>37.26970808159227</v>
      </c>
      <c r="N116" s="68">
        <f t="shared" si="17"/>
        <v>96.437222959735195</v>
      </c>
      <c r="O116" s="69">
        <f t="shared" si="25"/>
        <v>72.14121043311259</v>
      </c>
      <c r="P116" s="69">
        <f t="shared" si="26"/>
        <v>73.135487808863445</v>
      </c>
      <c r="Q116" s="69">
        <f t="shared" si="27"/>
        <v>85.112630744970375</v>
      </c>
      <c r="R116" s="69">
        <f t="shared" si="28"/>
        <v>77.048819414132097</v>
      </c>
      <c r="S116" s="69">
        <f t="shared" si="29"/>
        <v>76.119420283113186</v>
      </c>
      <c r="T116" s="68">
        <f t="shared" si="30"/>
        <v>58.937446074394188</v>
      </c>
      <c r="U116" s="68">
        <f t="shared" si="31"/>
        <v>22.899801831422376</v>
      </c>
      <c r="V116" s="69">
        <f t="shared" si="32"/>
        <v>76.711513736838327</v>
      </c>
      <c r="W116" s="69">
        <f t="shared" si="33"/>
        <v>4.5764342120869461</v>
      </c>
    </row>
    <row r="117" spans="1:23" x14ac:dyDescent="0.3">
      <c r="A117" s="59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22" t="s">
        <v>21</v>
      </c>
      <c r="H117" s="22">
        <v>17.7</v>
      </c>
      <c r="I117" s="22">
        <v>16.5</v>
      </c>
      <c r="J117" s="65">
        <v>0.56195965417867433</v>
      </c>
      <c r="K117" s="70">
        <f t="shared" si="22"/>
        <v>90.088457330316984</v>
      </c>
      <c r="L117" s="70">
        <f t="shared" si="23"/>
        <v>126.094369005</v>
      </c>
      <c r="M117" s="70">
        <f t="shared" si="24"/>
        <v>79.109803492987936</v>
      </c>
      <c r="N117" s="68">
        <f t="shared" si="17"/>
        <v>187.68584034807049</v>
      </c>
      <c r="O117" s="69">
        <f t="shared" si="25"/>
        <v>162.38556525216137</v>
      </c>
      <c r="P117" s="69">
        <f t="shared" si="26"/>
        <v>161.44902365326683</v>
      </c>
      <c r="Q117" s="69">
        <f t="shared" si="27"/>
        <v>162.49734376781083</v>
      </c>
      <c r="R117" s="69">
        <f t="shared" si="28"/>
        <v>139.15317633184202</v>
      </c>
      <c r="S117" s="69">
        <f t="shared" si="29"/>
        <v>137.33223047919404</v>
      </c>
      <c r="T117" s="68">
        <f t="shared" si="30"/>
        <v>120.74461754409386</v>
      </c>
      <c r="U117" s="68">
        <f t="shared" si="31"/>
        <v>42.376305440977376</v>
      </c>
      <c r="V117" s="69">
        <f t="shared" si="32"/>
        <v>152.56346789685503</v>
      </c>
      <c r="W117" s="69">
        <f t="shared" si="33"/>
        <v>11.712686288881745</v>
      </c>
    </row>
    <row r="118" spans="1:23" x14ac:dyDescent="0.3">
      <c r="A118" s="59" t="s">
        <v>75</v>
      </c>
      <c r="B118" s="19" t="s">
        <v>26</v>
      </c>
      <c r="C118" s="22">
        <v>1</v>
      </c>
      <c r="D118" s="22">
        <v>3</v>
      </c>
      <c r="E118" s="22">
        <v>2</v>
      </c>
      <c r="F118" s="22">
        <v>1218</v>
      </c>
      <c r="G118" s="22" t="s">
        <v>21</v>
      </c>
      <c r="H118" s="29">
        <f>SQRT(12.8^2 + 15.4^2 + 11.7^2 + 12.2^2 + 14^2 + 14.3^2)</f>
        <v>32.973019273339226</v>
      </c>
      <c r="I118" s="22">
        <v>10.6</v>
      </c>
      <c r="J118" s="65">
        <v>0.77419354838709675</v>
      </c>
      <c r="K118" s="70">
        <f t="shared" si="22"/>
        <v>341.52411303325323</v>
      </c>
      <c r="L118" s="70">
        <f t="shared" si="23"/>
        <v>281.11790907599999</v>
      </c>
      <c r="M118" s="70">
        <f t="shared" si="24"/>
        <v>260.03106369353782</v>
      </c>
      <c r="N118" s="68">
        <f t="shared" si="17"/>
        <v>173.98014254060726</v>
      </c>
      <c r="O118" s="69">
        <f t="shared" si="25"/>
        <v>498.75200423225806</v>
      </c>
      <c r="P118" s="69">
        <f t="shared" si="26"/>
        <v>482.69918099264936</v>
      </c>
      <c r="Q118" s="69">
        <f t="shared" si="27"/>
        <v>733.59362743466488</v>
      </c>
      <c r="R118" s="69">
        <f t="shared" si="28"/>
        <v>830.93597369149086</v>
      </c>
      <c r="S118" s="69">
        <f t="shared" si="29"/>
        <v>807.10208595961956</v>
      </c>
      <c r="T118" s="68">
        <f t="shared" si="30"/>
        <v>264.16330708584957</v>
      </c>
      <c r="U118" s="68">
        <f t="shared" si="31"/>
        <v>60.046297613432912</v>
      </c>
      <c r="V118" s="69">
        <f t="shared" si="32"/>
        <v>670.61657446213655</v>
      </c>
      <c r="W118" s="69">
        <f t="shared" si="33"/>
        <v>150.43077550006998</v>
      </c>
    </row>
    <row r="119" spans="1:23" x14ac:dyDescent="0.3">
      <c r="A119" s="59" t="s">
        <v>75</v>
      </c>
      <c r="B119" s="19" t="s">
        <v>26</v>
      </c>
      <c r="C119" s="22">
        <v>1</v>
      </c>
      <c r="D119" s="22">
        <v>2</v>
      </c>
      <c r="E119" s="22">
        <v>2</v>
      </c>
      <c r="F119" s="22">
        <v>1357</v>
      </c>
      <c r="G119" s="22" t="s">
        <v>21</v>
      </c>
      <c r="H119" s="29">
        <f>SQRT(17^2+22.3^2)</f>
        <v>28.040863039500049</v>
      </c>
      <c r="I119" s="22">
        <v>10.6</v>
      </c>
      <c r="J119" s="65">
        <v>0.70508474576271185</v>
      </c>
      <c r="K119" s="70">
        <f t="shared" si="22"/>
        <v>229.87350039465781</v>
      </c>
      <c r="L119" s="70">
        <f t="shared" si="23"/>
        <v>203.307702882</v>
      </c>
      <c r="M119" s="70">
        <f t="shared" si="24"/>
        <v>177.50810026948128</v>
      </c>
      <c r="N119" s="68">
        <f t="shared" si="17"/>
        <v>149.39610058097563</v>
      </c>
      <c r="O119" s="69">
        <f t="shared" si="25"/>
        <v>328.50481875525418</v>
      </c>
      <c r="P119" s="69">
        <f t="shared" si="26"/>
        <v>321.13369942874283</v>
      </c>
      <c r="Q119" s="69">
        <f t="shared" si="27"/>
        <v>471.24352896407055</v>
      </c>
      <c r="R119" s="69">
        <f t="shared" si="28"/>
        <v>515.76969935048851</v>
      </c>
      <c r="S119" s="69">
        <f t="shared" si="29"/>
        <v>503.34767497036893</v>
      </c>
      <c r="T119" s="68">
        <f t="shared" si="30"/>
        <v>190.02135103177866</v>
      </c>
      <c r="U119" s="68">
        <f t="shared" si="31"/>
        <v>29.881906620728401</v>
      </c>
      <c r="V119" s="69">
        <f t="shared" si="32"/>
        <v>427.99988429378499</v>
      </c>
      <c r="W119" s="69">
        <f t="shared" si="33"/>
        <v>85.522502691895241</v>
      </c>
    </row>
    <row r="120" spans="1:23" x14ac:dyDescent="0.3">
      <c r="A120" s="59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22" t="s">
        <v>21</v>
      </c>
      <c r="H120" s="22">
        <v>10.8</v>
      </c>
      <c r="I120" s="22">
        <v>11.9</v>
      </c>
      <c r="J120" s="65">
        <v>0.79661016949152541</v>
      </c>
      <c r="K120" s="70">
        <f t="shared" si="22"/>
        <v>23.459757883099737</v>
      </c>
      <c r="L120" s="70">
        <f t="shared" si="23"/>
        <v>33.857874288000012</v>
      </c>
      <c r="M120" s="70">
        <f t="shared" si="24"/>
        <v>20.145214770350766</v>
      </c>
      <c r="N120" s="68">
        <f t="shared" si="17"/>
        <v>72.404520854523639</v>
      </c>
      <c r="O120" s="69">
        <f t="shared" si="25"/>
        <v>61.809058250847464</v>
      </c>
      <c r="P120" s="69">
        <f t="shared" si="26"/>
        <v>62.893826058894199</v>
      </c>
      <c r="Q120" s="69">
        <f t="shared" si="27"/>
        <v>74.661647430156137</v>
      </c>
      <c r="R120" s="69">
        <f t="shared" si="28"/>
        <v>67.064667523030209</v>
      </c>
      <c r="S120" s="69">
        <f t="shared" si="29"/>
        <v>64.75970516769685</v>
      </c>
      <c r="T120" s="68">
        <f t="shared" si="30"/>
        <v>37.466841948993533</v>
      </c>
      <c r="U120" s="68">
        <f t="shared" si="31"/>
        <v>20.796052672496135</v>
      </c>
      <c r="V120" s="69">
        <f t="shared" si="32"/>
        <v>66.237780886124966</v>
      </c>
      <c r="W120" s="69">
        <f t="shared" si="33"/>
        <v>4.5743982108715935</v>
      </c>
    </row>
    <row r="121" spans="1:23" x14ac:dyDescent="0.3">
      <c r="A121" s="59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22" t="s">
        <v>21</v>
      </c>
      <c r="H121" s="22">
        <v>21.3</v>
      </c>
      <c r="I121" s="22">
        <v>17.899999999999999</v>
      </c>
      <c r="J121" s="65">
        <v>0.75510204081632648</v>
      </c>
      <c r="K121" s="70">
        <f t="shared" si="22"/>
        <v>146.5928783098862</v>
      </c>
      <c r="L121" s="70">
        <f t="shared" si="23"/>
        <v>198.09679704300001</v>
      </c>
      <c r="M121" s="70">
        <f t="shared" si="24"/>
        <v>128.75051601449147</v>
      </c>
      <c r="N121" s="68">
        <f t="shared" si="17"/>
        <v>252.25778718838637</v>
      </c>
      <c r="O121" s="69">
        <f t="shared" si="25"/>
        <v>342.7912200673469</v>
      </c>
      <c r="P121" s="69">
        <f t="shared" si="26"/>
        <v>334.75734669186596</v>
      </c>
      <c r="Q121" s="69">
        <f t="shared" si="27"/>
        <v>339.39760515110208</v>
      </c>
      <c r="R121" s="69">
        <f t="shared" si="28"/>
        <v>297.63862446772606</v>
      </c>
      <c r="S121" s="69">
        <f t="shared" si="29"/>
        <v>289.03352768713961</v>
      </c>
      <c r="T121" s="68">
        <f t="shared" si="30"/>
        <v>181.42449463894101</v>
      </c>
      <c r="U121" s="68">
        <f t="shared" si="31"/>
        <v>48.174449973692369</v>
      </c>
      <c r="V121" s="69">
        <f t="shared" si="32"/>
        <v>320.72366481303618</v>
      </c>
      <c r="W121" s="69">
        <f t="shared" si="33"/>
        <v>22.670779203770749</v>
      </c>
    </row>
    <row r="122" spans="1:23" x14ac:dyDescent="0.3">
      <c r="A122" s="59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22" t="s">
        <v>21</v>
      </c>
      <c r="H122" s="22">
        <v>11.9</v>
      </c>
      <c r="I122" s="22">
        <v>13.4</v>
      </c>
      <c r="J122" s="65">
        <v>0.75838926174496646</v>
      </c>
      <c r="K122" s="70">
        <f t="shared" si="22"/>
        <v>31.266949802560418</v>
      </c>
      <c r="L122" s="70">
        <f t="shared" si="23"/>
        <v>46.287522582000008</v>
      </c>
      <c r="M122" s="70">
        <f t="shared" si="24"/>
        <v>27.263354816752152</v>
      </c>
      <c r="N122" s="68">
        <f t="shared" si="17"/>
        <v>94.701696089932511</v>
      </c>
      <c r="O122" s="69">
        <f t="shared" si="25"/>
        <v>80.445675743624165</v>
      </c>
      <c r="P122" s="69">
        <f t="shared" si="26"/>
        <v>81.341425469080789</v>
      </c>
      <c r="Q122" s="69">
        <f t="shared" si="27"/>
        <v>90.470979779618958</v>
      </c>
      <c r="R122" s="69">
        <f t="shared" si="28"/>
        <v>79.126794956351546</v>
      </c>
      <c r="S122" s="69">
        <f t="shared" si="29"/>
        <v>76.650329251015606</v>
      </c>
      <c r="T122" s="68">
        <f t="shared" si="30"/>
        <v>49.879880822811273</v>
      </c>
      <c r="U122" s="68">
        <f t="shared" si="31"/>
        <v>26.832110480344408</v>
      </c>
      <c r="V122" s="69">
        <f t="shared" si="32"/>
        <v>81.60704103993821</v>
      </c>
      <c r="W122" s="69">
        <f t="shared" si="33"/>
        <v>4.7055147084536664</v>
      </c>
    </row>
    <row r="123" spans="1:23" x14ac:dyDescent="0.3">
      <c r="A123" s="59" t="s">
        <v>76</v>
      </c>
      <c r="B123" s="19" t="s">
        <v>38</v>
      </c>
      <c r="C123" s="22">
        <v>2</v>
      </c>
      <c r="D123" s="22">
        <v>1</v>
      </c>
      <c r="E123" s="22">
        <v>1</v>
      </c>
      <c r="F123" s="22">
        <v>242</v>
      </c>
      <c r="G123" s="22" t="s">
        <v>21</v>
      </c>
      <c r="H123" s="22">
        <v>11</v>
      </c>
      <c r="I123" s="22">
        <v>9</v>
      </c>
      <c r="J123" s="65">
        <v>0.67080745341614911</v>
      </c>
      <c r="K123" s="70">
        <f t="shared" si="22"/>
        <v>21.797648714839099</v>
      </c>
      <c r="L123" s="70">
        <f t="shared" si="23"/>
        <v>26.563977000000001</v>
      </c>
      <c r="M123" s="70">
        <f t="shared" si="24"/>
        <v>17.672662841440772</v>
      </c>
      <c r="N123" s="68">
        <f t="shared" si="17"/>
        <v>48.542699145954231</v>
      </c>
      <c r="O123" s="69">
        <f t="shared" si="25"/>
        <v>40.835470807453419</v>
      </c>
      <c r="P123" s="69">
        <f t="shared" si="26"/>
        <v>41.967568234387777</v>
      </c>
      <c r="Q123" s="69">
        <f t="shared" si="27"/>
        <v>58.650623882365572</v>
      </c>
      <c r="R123" s="69">
        <f t="shared" si="28"/>
        <v>57.469968900474441</v>
      </c>
      <c r="S123" s="69">
        <f t="shared" si="29"/>
        <v>56.046013869455415</v>
      </c>
      <c r="T123" s="68">
        <f t="shared" si="30"/>
        <v>28.644246925558527</v>
      </c>
      <c r="U123" s="68">
        <f t="shared" si="31"/>
        <v>11.911417716884566</v>
      </c>
      <c r="V123" s="69">
        <f t="shared" si="32"/>
        <v>50.993929138827326</v>
      </c>
      <c r="W123" s="69">
        <f t="shared" si="33"/>
        <v>7.8836170932264329</v>
      </c>
    </row>
    <row r="124" spans="1:23" x14ac:dyDescent="0.3">
      <c r="A124" s="59" t="s">
        <v>76</v>
      </c>
      <c r="B124" s="19" t="s">
        <v>38</v>
      </c>
      <c r="C124" s="22">
        <v>2</v>
      </c>
      <c r="D124" s="22">
        <v>1</v>
      </c>
      <c r="E124" s="22">
        <v>2</v>
      </c>
      <c r="F124" s="22">
        <v>254</v>
      </c>
      <c r="G124" s="22" t="s">
        <v>21</v>
      </c>
      <c r="H124" s="22">
        <v>11.5</v>
      </c>
      <c r="I124" s="22">
        <v>13.4</v>
      </c>
      <c r="J124" s="65">
        <v>0.73529411764705888</v>
      </c>
      <c r="K124" s="70">
        <f t="shared" si="22"/>
        <v>28.760989756863481</v>
      </c>
      <c r="L124" s="70">
        <f t="shared" si="23"/>
        <v>43.228054950000008</v>
      </c>
      <c r="M124" s="70">
        <f t="shared" si="24"/>
        <v>25.153024153258809</v>
      </c>
      <c r="N124" s="68">
        <f t="shared" si="17"/>
        <v>91.705713182981071</v>
      </c>
      <c r="O124" s="69">
        <f t="shared" si="25"/>
        <v>72.840577205882354</v>
      </c>
      <c r="P124" s="69">
        <f t="shared" si="26"/>
        <v>73.827397145167581</v>
      </c>
      <c r="Q124" s="69">
        <f t="shared" si="27"/>
        <v>81.416489268982119</v>
      </c>
      <c r="R124" s="69">
        <f t="shared" si="28"/>
        <v>70.642420613786513</v>
      </c>
      <c r="S124" s="69">
        <f t="shared" si="29"/>
        <v>68.543536841046105</v>
      </c>
      <c r="T124" s="68">
        <f t="shared" si="30"/>
        <v>47.211945510775848</v>
      </c>
      <c r="U124" s="68">
        <f t="shared" si="31"/>
        <v>26.564075954935664</v>
      </c>
      <c r="V124" s="69">
        <f t="shared" si="32"/>
        <v>73.454084214972937</v>
      </c>
      <c r="W124" s="69">
        <f t="shared" si="33"/>
        <v>4.3802870991746889</v>
      </c>
    </row>
    <row r="125" spans="1:23" x14ac:dyDescent="0.3">
      <c r="A125" s="59" t="s">
        <v>76</v>
      </c>
      <c r="B125" s="19" t="s">
        <v>24</v>
      </c>
      <c r="C125" s="22">
        <v>2</v>
      </c>
      <c r="D125" s="22">
        <v>3</v>
      </c>
      <c r="E125" s="22">
        <v>1</v>
      </c>
      <c r="F125" s="22">
        <v>677</v>
      </c>
      <c r="G125" s="22" t="s">
        <v>21</v>
      </c>
      <c r="H125" s="22">
        <v>10.5</v>
      </c>
      <c r="I125" s="22">
        <v>4.9000000000000004</v>
      </c>
      <c r="J125" s="65">
        <v>0.77319587628865982</v>
      </c>
      <c r="K125" s="70">
        <f t="shared" si="22"/>
        <v>15.03816996843894</v>
      </c>
      <c r="L125" s="70">
        <f t="shared" si="23"/>
        <v>13.177708425000001</v>
      </c>
      <c r="M125" s="70">
        <f t="shared" si="24"/>
        <v>10.84010682394144</v>
      </c>
      <c r="N125" s="68">
        <f t="shared" si="17"/>
        <v>18.743423170454584</v>
      </c>
      <c r="O125" s="69">
        <f t="shared" si="25"/>
        <v>23.349415592783505</v>
      </c>
      <c r="P125" s="69">
        <f t="shared" si="26"/>
        <v>24.320837754272034</v>
      </c>
      <c r="Q125" s="69">
        <f t="shared" si="27"/>
        <v>50.385968663590205</v>
      </c>
      <c r="R125" s="69">
        <f t="shared" si="28"/>
        <v>60.778562013586637</v>
      </c>
      <c r="S125" s="69">
        <f t="shared" si="29"/>
        <v>58.783416328805018</v>
      </c>
      <c r="T125" s="68">
        <f t="shared" si="30"/>
        <v>14.449852096958741</v>
      </c>
      <c r="U125" s="68">
        <f t="shared" si="31"/>
        <v>2.8909116615368324</v>
      </c>
      <c r="V125" s="69">
        <f t="shared" si="32"/>
        <v>43.52364007060747</v>
      </c>
      <c r="W125" s="69">
        <f t="shared" si="33"/>
        <v>16.45254756266344</v>
      </c>
    </row>
    <row r="126" spans="1:23" x14ac:dyDescent="0.3">
      <c r="A126" s="59" t="s">
        <v>77</v>
      </c>
      <c r="B126" s="7" t="s">
        <v>30</v>
      </c>
      <c r="C126" s="16">
        <v>1</v>
      </c>
      <c r="D126" s="16">
        <v>1</v>
      </c>
      <c r="E126" s="16">
        <v>2</v>
      </c>
      <c r="F126" s="16">
        <v>1314</v>
      </c>
      <c r="G126" s="16" t="s">
        <v>21</v>
      </c>
      <c r="H126" s="21">
        <v>16.5</v>
      </c>
      <c r="I126" s="16">
        <v>15.3</v>
      </c>
      <c r="J126" s="52">
        <v>0.75735244099999999</v>
      </c>
      <c r="K126" s="70">
        <f t="shared" si="22"/>
        <v>73.499080795266934</v>
      </c>
      <c r="L126" s="70">
        <f t="shared" si="23"/>
        <v>101.60721202500001</v>
      </c>
      <c r="M126" s="70">
        <f t="shared" si="24"/>
        <v>63.964385510257173</v>
      </c>
      <c r="N126" s="68">
        <f t="shared" si="17"/>
        <v>156.96345458332061</v>
      </c>
      <c r="O126" s="69">
        <f t="shared" si="25"/>
        <v>176.34743884778055</v>
      </c>
      <c r="P126" s="69">
        <f t="shared" si="26"/>
        <v>174.98363603353306</v>
      </c>
      <c r="Q126" s="69">
        <f t="shared" si="27"/>
        <v>188.33710380350232</v>
      </c>
      <c r="R126" s="69">
        <f t="shared" si="28"/>
        <v>166.67000844957045</v>
      </c>
      <c r="S126" s="69">
        <f t="shared" si="29"/>
        <v>161.66693081188021</v>
      </c>
      <c r="T126" s="68">
        <f t="shared" si="30"/>
        <v>99.008533228461175</v>
      </c>
      <c r="U126" s="68">
        <f t="shared" si="31"/>
        <v>36.208943969246846</v>
      </c>
      <c r="V126" s="69">
        <f t="shared" si="32"/>
        <v>173.60102358925332</v>
      </c>
      <c r="W126" s="69">
        <f t="shared" si="33"/>
        <v>9.1331047876348315</v>
      </c>
    </row>
    <row r="127" spans="1:23" x14ac:dyDescent="0.3">
      <c r="A127" s="59" t="s">
        <v>77</v>
      </c>
      <c r="B127" s="7" t="s">
        <v>30</v>
      </c>
      <c r="C127" s="16">
        <v>1</v>
      </c>
      <c r="D127" s="16">
        <v>1</v>
      </c>
      <c r="E127" s="16">
        <v>1</v>
      </c>
      <c r="F127" s="16">
        <v>1306</v>
      </c>
      <c r="G127" s="16" t="s">
        <v>21</v>
      </c>
      <c r="H127" s="21">
        <v>24.6</v>
      </c>
      <c r="I127" s="16">
        <v>17.5</v>
      </c>
      <c r="J127" s="52">
        <v>0.65525423699999996</v>
      </c>
      <c r="K127" s="70">
        <f t="shared" si="22"/>
        <v>206.4432042633467</v>
      </c>
      <c r="L127" s="70">
        <f t="shared" si="23"/>
        <v>258.32918790000002</v>
      </c>
      <c r="M127" s="70">
        <f t="shared" si="24"/>
        <v>178.24944615522588</v>
      </c>
      <c r="N127" s="68">
        <f t="shared" si="17"/>
        <v>279.25712743219509</v>
      </c>
      <c r="O127" s="69">
        <f t="shared" si="25"/>
        <v>387.90904708705153</v>
      </c>
      <c r="P127" s="69">
        <f t="shared" si="26"/>
        <v>377.69525652615175</v>
      </c>
      <c r="Q127" s="69">
        <f t="shared" si="27"/>
        <v>391.76452658691107</v>
      </c>
      <c r="R127" s="69">
        <f t="shared" si="28"/>
        <v>351.74667435405649</v>
      </c>
      <c r="S127" s="69">
        <f t="shared" si="29"/>
        <v>344.54326603463346</v>
      </c>
      <c r="T127" s="68">
        <f t="shared" si="30"/>
        <v>230.5697414376919</v>
      </c>
      <c r="U127" s="68">
        <f t="shared" si="31"/>
        <v>40.188778027395358</v>
      </c>
      <c r="V127" s="69">
        <f t="shared" si="32"/>
        <v>370.73175411776083</v>
      </c>
      <c r="W127" s="69">
        <f t="shared" si="33"/>
        <v>19.142609221304575</v>
      </c>
    </row>
    <row r="128" spans="1:23" x14ac:dyDescent="0.3">
      <c r="A128" s="59" t="s">
        <v>77</v>
      </c>
      <c r="B128" s="7" t="s">
        <v>20</v>
      </c>
      <c r="C128" s="16">
        <v>1</v>
      </c>
      <c r="D128" s="16">
        <v>2</v>
      </c>
      <c r="E128" s="16">
        <v>2</v>
      </c>
      <c r="F128" s="16">
        <v>7469</v>
      </c>
      <c r="G128" s="16" t="s">
        <v>21</v>
      </c>
      <c r="H128" s="21">
        <v>28.6</v>
      </c>
      <c r="I128" s="16">
        <v>20.2</v>
      </c>
      <c r="J128" s="52">
        <v>0.74020527800000002</v>
      </c>
      <c r="K128" s="70">
        <f t="shared" si="22"/>
        <v>317.00614746405529</v>
      </c>
      <c r="L128" s="70">
        <f t="shared" si="23"/>
        <v>403.04046525600006</v>
      </c>
      <c r="M128" s="70">
        <f t="shared" si="24"/>
        <v>278.01165131297915</v>
      </c>
      <c r="N128" s="68">
        <f t="shared" si="17"/>
        <v>398.63085541186723</v>
      </c>
      <c r="O128" s="69">
        <f t="shared" si="25"/>
        <v>683.67141357441619</v>
      </c>
      <c r="P128" s="69">
        <f t="shared" si="26"/>
        <v>656.67763088313222</v>
      </c>
      <c r="Q128" s="69">
        <f t="shared" si="27"/>
        <v>644.59924393682184</v>
      </c>
      <c r="R128" s="69">
        <f t="shared" si="28"/>
        <v>570.36486842356067</v>
      </c>
      <c r="S128" s="69">
        <f t="shared" si="29"/>
        <v>555.12676046858053</v>
      </c>
      <c r="T128" s="68">
        <f t="shared" si="30"/>
        <v>349.17227986122543</v>
      </c>
      <c r="U128" s="68">
        <f t="shared" si="31"/>
        <v>53.493988498704475</v>
      </c>
      <c r="V128" s="69">
        <f t="shared" si="32"/>
        <v>622.08798345730224</v>
      </c>
      <c r="W128" s="69">
        <f t="shared" si="33"/>
        <v>50.308658172025311</v>
      </c>
    </row>
    <row r="129" spans="1:23" x14ac:dyDescent="0.3">
      <c r="A129" s="59" t="s">
        <v>77</v>
      </c>
      <c r="B129" s="7" t="s">
        <v>26</v>
      </c>
      <c r="C129" s="16">
        <v>2</v>
      </c>
      <c r="D129" s="16">
        <v>3</v>
      </c>
      <c r="E129" s="16">
        <v>1</v>
      </c>
      <c r="F129" s="16">
        <v>651</v>
      </c>
      <c r="G129" s="16" t="s">
        <v>21</v>
      </c>
      <c r="H129" s="21">
        <v>11.8</v>
      </c>
      <c r="I129" s="16">
        <v>9.5</v>
      </c>
      <c r="J129" s="52">
        <v>0.70946454000000003</v>
      </c>
      <c r="K129" s="70">
        <f t="shared" si="22"/>
        <v>26.476011234385098</v>
      </c>
      <c r="L129" s="70">
        <f t="shared" si="23"/>
        <v>32.266572540000006</v>
      </c>
      <c r="M129" s="70">
        <f t="shared" si="24"/>
        <v>21.566880670443862</v>
      </c>
      <c r="N129" s="68">
        <f t="shared" si="17"/>
        <v>56.215086609727123</v>
      </c>
      <c r="O129" s="69">
        <f t="shared" si="25"/>
        <v>52.460221685965081</v>
      </c>
      <c r="P129" s="69">
        <f t="shared" si="26"/>
        <v>53.591429095261901</v>
      </c>
      <c r="Q129" s="69">
        <f t="shared" si="27"/>
        <v>73.585987010627235</v>
      </c>
      <c r="R129" s="69">
        <f t="shared" si="28"/>
        <v>71.924223006387166</v>
      </c>
      <c r="S129" s="69">
        <f t="shared" si="29"/>
        <v>69.93674290505966</v>
      </c>
      <c r="T129" s="68">
        <f t="shared" si="30"/>
        <v>34.131137763639018</v>
      </c>
      <c r="U129" s="68">
        <f t="shared" si="31"/>
        <v>13.300741695415276</v>
      </c>
      <c r="V129" s="69">
        <f t="shared" si="32"/>
        <v>64.299720740660206</v>
      </c>
      <c r="W129" s="69">
        <f t="shared" si="33"/>
        <v>9.284234408369576</v>
      </c>
    </row>
    <row r="130" spans="1:23" x14ac:dyDescent="0.3">
      <c r="A130" s="59" t="s">
        <v>77</v>
      </c>
      <c r="B130" s="7" t="s">
        <v>20</v>
      </c>
      <c r="C130" s="16">
        <v>2</v>
      </c>
      <c r="D130" s="16">
        <v>3</v>
      </c>
      <c r="E130" s="16">
        <v>1</v>
      </c>
      <c r="F130" s="16">
        <v>714</v>
      </c>
      <c r="G130" s="16" t="s">
        <v>21</v>
      </c>
      <c r="H130" s="21">
        <v>32.700000000000003</v>
      </c>
      <c r="I130" s="16">
        <v>11.9</v>
      </c>
      <c r="J130" s="52">
        <v>0.67114569800000001</v>
      </c>
      <c r="K130" s="70">
        <f t="shared" si="22"/>
        <v>351.46390570298178</v>
      </c>
      <c r="L130" s="70">
        <f t="shared" si="23"/>
        <v>310.38997254300011</v>
      </c>
      <c r="M130" s="70">
        <f t="shared" si="24"/>
        <v>274.06131941217939</v>
      </c>
      <c r="N130" s="68">
        <f t="shared" ref="N130:N179" si="34">10^(-0.717903255+0.940214879*LOG10(H130)+1.345432588*LOG10(I130)*1.109844005)</f>
        <v>205.17555869038333</v>
      </c>
      <c r="O130" s="69">
        <f t="shared" si="25"/>
        <v>477.38754634110649</v>
      </c>
      <c r="P130" s="69">
        <f t="shared" si="26"/>
        <v>462.50807442063626</v>
      </c>
      <c r="Q130" s="69">
        <f t="shared" si="27"/>
        <v>642.84923476199901</v>
      </c>
      <c r="R130" s="69">
        <f t="shared" si="28"/>
        <v>692.58297046222197</v>
      </c>
      <c r="S130" s="69">
        <f t="shared" si="29"/>
        <v>678.20512113580662</v>
      </c>
      <c r="T130" s="68">
        <f t="shared" ref="T130:T161" si="35">AVERAGE(K130:N130)</f>
        <v>285.27268908713614</v>
      </c>
      <c r="U130" s="68">
        <f t="shared" ref="U130:U161" si="36">_xlfn.STDEV.P(K130:N130)</f>
        <v>53.74337213338741</v>
      </c>
      <c r="V130" s="69">
        <f t="shared" ref="V130:V161" si="37">AVERAGE(O130:S130)</f>
        <v>590.70658942435398</v>
      </c>
      <c r="W130" s="69">
        <f t="shared" ref="W130:W161" si="38">_xlfn.STDEV.P(O130:S130)</f>
        <v>100.0297058901027</v>
      </c>
    </row>
    <row r="131" spans="1:23" x14ac:dyDescent="0.3">
      <c r="A131" s="59" t="s">
        <v>77</v>
      </c>
      <c r="B131" s="7" t="s">
        <v>44</v>
      </c>
      <c r="C131" s="16">
        <v>2</v>
      </c>
      <c r="D131" s="16">
        <v>2</v>
      </c>
      <c r="E131" s="16">
        <v>1</v>
      </c>
      <c r="F131" s="16">
        <v>359</v>
      </c>
      <c r="G131" s="16" t="s">
        <v>21</v>
      </c>
      <c r="H131" s="21">
        <v>38.6</v>
      </c>
      <c r="I131" s="16">
        <v>19.8</v>
      </c>
      <c r="J131" s="52">
        <v>0.69286545499999996</v>
      </c>
      <c r="K131" s="70">
        <f t="shared" ref="K131:K179" si="39">(0.02453 *(H131^2.443356)*(I131^0.423602))</f>
        <v>653.98099322685073</v>
      </c>
      <c r="L131" s="70">
        <f t="shared" ref="L131:L179" si="40">0.024393*((H131^2)*I131)</f>
        <v>719.62296674400011</v>
      </c>
      <c r="M131" s="70">
        <f t="shared" ref="M131:M179" si="41">(0.01579*(H131^2.356307)*(I131^0.623614))</f>
        <v>556.52857493898659</v>
      </c>
      <c r="N131" s="68">
        <f t="shared" si="34"/>
        <v>512.9045002617778</v>
      </c>
      <c r="O131" s="69">
        <f t="shared" ref="O131:O179" si="42">((0.0559)*((J131*H131^2*I131)))</f>
        <v>1142.6165658319028</v>
      </c>
      <c r="P131" s="69">
        <f t="shared" ref="P131:P179" si="43">((0.0673)*((J131*H131^2*I131)^0.976))</f>
        <v>1084.0568139281822</v>
      </c>
      <c r="Q131" s="69">
        <f t="shared" ref="Q131:Q179" si="44">EXP((-1.305)+(1.055*LN((H131^2))+(0.34*LN(I131))+(1.077*LN(J131))))</f>
        <v>1122.5093143692143</v>
      </c>
      <c r="R131" s="69">
        <f t="shared" ref="R131:R179" si="45">EXP(-0.97+(1.1421*LN(H131^2*J131)))</f>
        <v>1049.1128163552435</v>
      </c>
      <c r="S131" s="69">
        <f t="shared" ref="S131:S179" si="46">EXP(-1.027+(1.144 *LN(H131^2))+(1.085*LN(J131)))</f>
        <v>1026.1134639654069</v>
      </c>
      <c r="T131" s="68">
        <f t="shared" si="35"/>
        <v>610.75925879290378</v>
      </c>
      <c r="U131" s="68">
        <f t="shared" si="36"/>
        <v>80.987570149357936</v>
      </c>
      <c r="V131" s="69">
        <f t="shared" si="37"/>
        <v>1084.8817948899898</v>
      </c>
      <c r="W131" s="69">
        <f t="shared" si="38"/>
        <v>43.549859096310172</v>
      </c>
    </row>
    <row r="132" spans="1:23" x14ac:dyDescent="0.3">
      <c r="A132" s="59" t="s">
        <v>78</v>
      </c>
      <c r="B132" s="7" t="s">
        <v>38</v>
      </c>
      <c r="C132" s="16">
        <v>1</v>
      </c>
      <c r="D132" s="16">
        <v>1</v>
      </c>
      <c r="E132" s="16"/>
      <c r="F132" s="16">
        <v>337</v>
      </c>
      <c r="G132" s="22" t="s">
        <v>21</v>
      </c>
      <c r="H132" s="21">
        <v>46.2</v>
      </c>
      <c r="I132" s="16">
        <v>20.5</v>
      </c>
      <c r="J132" s="52">
        <v>0.34851888800000003</v>
      </c>
      <c r="K132" s="70">
        <f t="shared" si="39"/>
        <v>1029.6083739389062</v>
      </c>
      <c r="L132" s="70">
        <f t="shared" si="40"/>
        <v>1067.3405958600001</v>
      </c>
      <c r="M132" s="70">
        <f t="shared" si="41"/>
        <v>868.5958335315247</v>
      </c>
      <c r="N132" s="68">
        <f t="shared" si="34"/>
        <v>639.66911453192836</v>
      </c>
      <c r="O132" s="69">
        <f t="shared" si="42"/>
        <v>852.46378834415202</v>
      </c>
      <c r="P132" s="69">
        <f t="shared" si="43"/>
        <v>814.48081106697123</v>
      </c>
      <c r="Q132" s="69">
        <f t="shared" si="44"/>
        <v>791.79786903099875</v>
      </c>
      <c r="R132" s="69">
        <f t="shared" si="45"/>
        <v>721.58290007123696</v>
      </c>
      <c r="S132" s="69">
        <f t="shared" si="46"/>
        <v>734.50704220666933</v>
      </c>
      <c r="T132" s="68">
        <f t="shared" si="35"/>
        <v>901.30347946558982</v>
      </c>
      <c r="U132" s="68">
        <f t="shared" si="36"/>
        <v>168.4879824966518</v>
      </c>
      <c r="V132" s="69">
        <f t="shared" si="37"/>
        <v>782.96648214400568</v>
      </c>
      <c r="W132" s="69">
        <f t="shared" si="38"/>
        <v>49.025061668526561</v>
      </c>
    </row>
    <row r="133" spans="1:23" x14ac:dyDescent="0.3">
      <c r="A133" s="59" t="s">
        <v>78</v>
      </c>
      <c r="B133" s="7" t="s">
        <v>30</v>
      </c>
      <c r="C133" s="16">
        <v>1</v>
      </c>
      <c r="D133" s="16">
        <v>1</v>
      </c>
      <c r="E133" s="16"/>
      <c r="F133" s="16">
        <v>192</v>
      </c>
      <c r="G133" s="22" t="s">
        <v>21</v>
      </c>
      <c r="H133" s="21">
        <v>29.5</v>
      </c>
      <c r="I133" s="16">
        <v>21.3</v>
      </c>
      <c r="J133" s="52">
        <v>0.39513025550000003</v>
      </c>
      <c r="K133" s="70">
        <f t="shared" si="39"/>
        <v>349.70371555523764</v>
      </c>
      <c r="L133" s="70">
        <f t="shared" si="40"/>
        <v>452.15657572500004</v>
      </c>
      <c r="M133" s="70">
        <f t="shared" si="41"/>
        <v>309.12216970824579</v>
      </c>
      <c r="N133" s="68">
        <f t="shared" si="34"/>
        <v>444.23078649597579</v>
      </c>
      <c r="O133" s="69">
        <f t="shared" si="42"/>
        <v>409.42629238041008</v>
      </c>
      <c r="P133" s="69">
        <f t="shared" si="43"/>
        <v>398.12976800021079</v>
      </c>
      <c r="Q133" s="69">
        <f t="shared" si="44"/>
        <v>356.37604784308303</v>
      </c>
      <c r="R133" s="69">
        <f t="shared" si="45"/>
        <v>298.90892405947159</v>
      </c>
      <c r="S133" s="69">
        <f t="shared" si="46"/>
        <v>301.57514769644587</v>
      </c>
      <c r="T133" s="68">
        <f t="shared" si="35"/>
        <v>388.80331187111483</v>
      </c>
      <c r="U133" s="68">
        <f t="shared" si="36"/>
        <v>61.163109454706216</v>
      </c>
      <c r="V133" s="69">
        <f t="shared" si="37"/>
        <v>352.88323599592428</v>
      </c>
      <c r="W133" s="69">
        <f t="shared" si="38"/>
        <v>46.480774288461035</v>
      </c>
    </row>
    <row r="134" spans="1:23" x14ac:dyDescent="0.3">
      <c r="A134" s="59" t="s">
        <v>78</v>
      </c>
      <c r="B134" s="7" t="s">
        <v>30</v>
      </c>
      <c r="C134" s="16">
        <v>1</v>
      </c>
      <c r="D134" s="16">
        <v>1</v>
      </c>
      <c r="E134" s="16"/>
      <c r="F134" s="16">
        <v>217</v>
      </c>
      <c r="G134" s="22" t="s">
        <v>21</v>
      </c>
      <c r="H134" s="21">
        <v>20.7</v>
      </c>
      <c r="I134" s="16">
        <v>11.7</v>
      </c>
      <c r="J134" s="52">
        <v>0.36545761399999999</v>
      </c>
      <c r="K134" s="70">
        <f t="shared" si="39"/>
        <v>114.17401012337645</v>
      </c>
      <c r="L134" s="70">
        <f t="shared" si="40"/>
        <v>122.29023186899998</v>
      </c>
      <c r="M134" s="70">
        <f t="shared" si="41"/>
        <v>92.331081964242728</v>
      </c>
      <c r="N134" s="68">
        <f t="shared" si="34"/>
        <v>130.14528788855191</v>
      </c>
      <c r="O134" s="69">
        <f t="shared" si="42"/>
        <v>102.4177840449411</v>
      </c>
      <c r="P134" s="69">
        <f t="shared" si="43"/>
        <v>102.95975625215505</v>
      </c>
      <c r="Q134" s="69">
        <f t="shared" si="44"/>
        <v>126.56155076276887</v>
      </c>
      <c r="R134" s="69">
        <f t="shared" si="45"/>
        <v>121.7278551718767</v>
      </c>
      <c r="S134" s="69">
        <f t="shared" si="46"/>
        <v>123.19636056225116</v>
      </c>
      <c r="T134" s="68">
        <f t="shared" si="35"/>
        <v>114.73515296129275</v>
      </c>
      <c r="U134" s="68">
        <f t="shared" si="36"/>
        <v>14.113900544351898</v>
      </c>
      <c r="V134" s="69">
        <f t="shared" si="37"/>
        <v>115.37266135879857</v>
      </c>
      <c r="W134" s="69">
        <f t="shared" si="38"/>
        <v>10.475677191721839</v>
      </c>
    </row>
    <row r="135" spans="1:23" x14ac:dyDescent="0.3">
      <c r="A135" s="59" t="s">
        <v>78</v>
      </c>
      <c r="B135" s="19" t="s">
        <v>38</v>
      </c>
      <c r="C135" s="22">
        <v>2</v>
      </c>
      <c r="D135" s="22">
        <v>3</v>
      </c>
      <c r="E135" s="22">
        <v>1</v>
      </c>
      <c r="F135" s="22">
        <v>615</v>
      </c>
      <c r="G135" s="22" t="s">
        <v>21</v>
      </c>
      <c r="H135" s="21">
        <v>35</v>
      </c>
      <c r="I135" s="16">
        <v>16.600000000000001</v>
      </c>
      <c r="J135" s="52">
        <v>0.44823586999999998</v>
      </c>
      <c r="K135" s="70">
        <f t="shared" si="39"/>
        <v>477.79950456275907</v>
      </c>
      <c r="L135" s="70">
        <f t="shared" si="40"/>
        <v>496.03165500000006</v>
      </c>
      <c r="M135" s="70">
        <f t="shared" si="41"/>
        <v>395.87397928368239</v>
      </c>
      <c r="N135" s="68">
        <f t="shared" si="34"/>
        <v>359.53622144956159</v>
      </c>
      <c r="O135" s="69">
        <f t="shared" si="42"/>
        <v>509.521591679555</v>
      </c>
      <c r="P135" s="69">
        <f t="shared" si="43"/>
        <v>492.86937097590055</v>
      </c>
      <c r="Q135" s="69">
        <f t="shared" si="44"/>
        <v>537.94594895406692</v>
      </c>
      <c r="R135" s="69">
        <f t="shared" si="45"/>
        <v>510.12930917518889</v>
      </c>
      <c r="S135" s="69">
        <f t="shared" si="46"/>
        <v>511.31898973081996</v>
      </c>
      <c r="T135" s="68">
        <f t="shared" si="35"/>
        <v>432.31034007400081</v>
      </c>
      <c r="U135" s="68">
        <f t="shared" si="36"/>
        <v>56.465367241765591</v>
      </c>
      <c r="V135" s="69">
        <f t="shared" si="37"/>
        <v>512.35704210310621</v>
      </c>
      <c r="W135" s="69">
        <f t="shared" si="38"/>
        <v>14.481999900700332</v>
      </c>
    </row>
    <row r="136" spans="1:23" x14ac:dyDescent="0.3">
      <c r="A136" s="59" t="s">
        <v>78</v>
      </c>
      <c r="B136" s="7" t="s">
        <v>38</v>
      </c>
      <c r="C136" s="16">
        <v>2</v>
      </c>
      <c r="D136" s="16">
        <v>3</v>
      </c>
      <c r="E136" s="16"/>
      <c r="F136" s="16">
        <v>353</v>
      </c>
      <c r="G136" s="22" t="s">
        <v>21</v>
      </c>
      <c r="H136" s="21">
        <v>26.9</v>
      </c>
      <c r="I136" s="16">
        <v>16.100000000000001</v>
      </c>
      <c r="J136" s="52">
        <v>0.3787728655</v>
      </c>
      <c r="K136" s="70">
        <f t="shared" si="39"/>
        <v>247.91637598233569</v>
      </c>
      <c r="L136" s="70">
        <f t="shared" si="40"/>
        <v>284.181401553</v>
      </c>
      <c r="M136" s="70">
        <f t="shared" si="41"/>
        <v>208.88677625972826</v>
      </c>
      <c r="N136" s="68">
        <f t="shared" si="34"/>
        <v>268.18099567729178</v>
      </c>
      <c r="O136" s="69">
        <f t="shared" si="42"/>
        <v>246.67270904567741</v>
      </c>
      <c r="P136" s="69">
        <f t="shared" si="43"/>
        <v>242.80148391391114</v>
      </c>
      <c r="Q136" s="69">
        <f t="shared" si="44"/>
        <v>254.83427594105876</v>
      </c>
      <c r="R136" s="69">
        <f t="shared" si="45"/>
        <v>230.6965001417731</v>
      </c>
      <c r="S136" s="69">
        <f t="shared" si="46"/>
        <v>233.23506641367788</v>
      </c>
      <c r="T136" s="68">
        <f t="shared" si="35"/>
        <v>252.29138736808892</v>
      </c>
      <c r="U136" s="68">
        <f t="shared" si="36"/>
        <v>28.162713146229514</v>
      </c>
      <c r="V136" s="69">
        <f t="shared" si="37"/>
        <v>241.64800709121965</v>
      </c>
      <c r="W136" s="69">
        <f t="shared" si="38"/>
        <v>8.8449861503505858</v>
      </c>
    </row>
    <row r="137" spans="1:23" x14ac:dyDescent="0.3">
      <c r="A137" s="59" t="s">
        <v>79</v>
      </c>
      <c r="B137" s="7" t="s">
        <v>24</v>
      </c>
      <c r="C137" s="16">
        <v>1</v>
      </c>
      <c r="D137" s="16">
        <v>1</v>
      </c>
      <c r="E137" s="16">
        <v>1</v>
      </c>
      <c r="F137" s="16">
        <v>1672</v>
      </c>
      <c r="G137" s="16" t="s">
        <v>21</v>
      </c>
      <c r="H137" s="21">
        <v>12.4</v>
      </c>
      <c r="I137" s="16">
        <v>11.2</v>
      </c>
      <c r="J137" s="52">
        <v>0.77426842799999995</v>
      </c>
      <c r="K137" s="70">
        <f t="shared" si="39"/>
        <v>32.045484049176238</v>
      </c>
      <c r="L137" s="70">
        <f t="shared" si="40"/>
        <v>42.007478016000007</v>
      </c>
      <c r="M137" s="70">
        <f t="shared" si="41"/>
        <v>26.861258028850244</v>
      </c>
      <c r="N137" s="68">
        <f t="shared" si="34"/>
        <v>75.311574022789912</v>
      </c>
      <c r="O137" s="69">
        <f t="shared" si="42"/>
        <v>74.535771565368421</v>
      </c>
      <c r="P137" s="69">
        <f t="shared" si="43"/>
        <v>75.503856946655816</v>
      </c>
      <c r="Q137" s="69">
        <f t="shared" si="44"/>
        <v>94.937061332243715</v>
      </c>
      <c r="R137" s="69">
        <f t="shared" si="45"/>
        <v>89.008443332355796</v>
      </c>
      <c r="S137" s="69">
        <f t="shared" si="46"/>
        <v>86.134217990747729</v>
      </c>
      <c r="T137" s="68">
        <f t="shared" si="35"/>
        <v>44.056448529204104</v>
      </c>
      <c r="U137" s="68">
        <f t="shared" si="36"/>
        <v>18.848202791431646</v>
      </c>
      <c r="V137" s="69">
        <f t="shared" si="37"/>
        <v>84.023870233474298</v>
      </c>
      <c r="W137" s="69">
        <f t="shared" si="38"/>
        <v>7.8868487919606789</v>
      </c>
    </row>
    <row r="138" spans="1:23" x14ac:dyDescent="0.3">
      <c r="A138" s="59" t="s">
        <v>79</v>
      </c>
      <c r="B138" s="7" t="s">
        <v>26</v>
      </c>
      <c r="C138" s="16">
        <v>1</v>
      </c>
      <c r="D138" s="16">
        <v>3</v>
      </c>
      <c r="E138" s="16">
        <v>1</v>
      </c>
      <c r="F138" s="16">
        <v>1203</v>
      </c>
      <c r="G138" s="16" t="s">
        <v>21</v>
      </c>
      <c r="H138" s="21">
        <v>16.399999999999999</v>
      </c>
      <c r="I138" s="16">
        <v>15.3</v>
      </c>
      <c r="J138" s="52">
        <v>0.747475</v>
      </c>
      <c r="K138" s="70">
        <f t="shared" si="39"/>
        <v>72.415446511971069</v>
      </c>
      <c r="L138" s="70">
        <f t="shared" si="40"/>
        <v>100.379341584</v>
      </c>
      <c r="M138" s="70">
        <f t="shared" si="41"/>
        <v>63.054684211012436</v>
      </c>
      <c r="N138" s="68">
        <f t="shared" si="34"/>
        <v>156.06887173848568</v>
      </c>
      <c r="O138" s="69">
        <f t="shared" si="42"/>
        <v>171.94423001652001</v>
      </c>
      <c r="P138" s="69">
        <f t="shared" si="43"/>
        <v>170.71805093263515</v>
      </c>
      <c r="Q138" s="69">
        <f t="shared" si="44"/>
        <v>183.32636299059052</v>
      </c>
      <c r="R138" s="69">
        <f t="shared" si="45"/>
        <v>161.92556801840814</v>
      </c>
      <c r="S138" s="69">
        <f t="shared" si="46"/>
        <v>157.1790575417763</v>
      </c>
      <c r="T138" s="68">
        <f t="shared" si="35"/>
        <v>97.979586011367303</v>
      </c>
      <c r="U138" s="68">
        <f t="shared" si="36"/>
        <v>36.240163966255039</v>
      </c>
      <c r="V138" s="69">
        <f t="shared" si="37"/>
        <v>169.01865389998602</v>
      </c>
      <c r="W138" s="69">
        <f t="shared" si="38"/>
        <v>9.0182636306369943</v>
      </c>
    </row>
    <row r="139" spans="1:23" x14ac:dyDescent="0.3">
      <c r="A139" s="59" t="s">
        <v>79</v>
      </c>
      <c r="B139" s="7" t="s">
        <v>20</v>
      </c>
      <c r="C139" s="16">
        <v>1</v>
      </c>
      <c r="D139" s="16">
        <v>2</v>
      </c>
      <c r="E139" s="16">
        <v>2</v>
      </c>
      <c r="F139" s="16">
        <v>7465</v>
      </c>
      <c r="G139" s="16" t="s">
        <v>21</v>
      </c>
      <c r="H139" s="21">
        <v>28.1</v>
      </c>
      <c r="I139" s="16">
        <v>13.1</v>
      </c>
      <c r="J139" s="52">
        <v>0.75615252483599993</v>
      </c>
      <c r="K139" s="70">
        <f t="shared" si="39"/>
        <v>252.74419093530184</v>
      </c>
      <c r="L139" s="70">
        <f t="shared" si="40"/>
        <v>252.31853316300004</v>
      </c>
      <c r="M139" s="70">
        <f t="shared" si="41"/>
        <v>203.57525820998359</v>
      </c>
      <c r="N139" s="68">
        <f t="shared" si="34"/>
        <v>205.36392328584037</v>
      </c>
      <c r="O139" s="69">
        <f t="shared" si="42"/>
        <v>437.22516466196129</v>
      </c>
      <c r="P139" s="69">
        <f t="shared" si="43"/>
        <v>424.49185943663838</v>
      </c>
      <c r="Q139" s="69">
        <f t="shared" si="44"/>
        <v>548.46713308919868</v>
      </c>
      <c r="R139" s="69">
        <f t="shared" si="45"/>
        <v>561.34406049218728</v>
      </c>
      <c r="S139" s="69">
        <f t="shared" si="46"/>
        <v>545.64582081244862</v>
      </c>
      <c r="T139" s="68">
        <f t="shared" si="35"/>
        <v>228.50047639853148</v>
      </c>
      <c r="U139" s="68">
        <f t="shared" si="36"/>
        <v>24.039676132692296</v>
      </c>
      <c r="V139" s="69">
        <f t="shared" si="37"/>
        <v>503.43480769848685</v>
      </c>
      <c r="W139" s="69">
        <f t="shared" si="38"/>
        <v>59.630306772016645</v>
      </c>
    </row>
    <row r="140" spans="1:23" x14ac:dyDescent="0.3">
      <c r="A140" s="59" t="s">
        <v>79</v>
      </c>
      <c r="B140" s="7" t="s">
        <v>30</v>
      </c>
      <c r="C140" s="16">
        <v>2</v>
      </c>
      <c r="D140" s="16">
        <v>1</v>
      </c>
      <c r="E140" s="16">
        <v>2</v>
      </c>
      <c r="F140" s="16">
        <v>98</v>
      </c>
      <c r="G140" s="16" t="s">
        <v>21</v>
      </c>
      <c r="H140" s="21">
        <v>11.8</v>
      </c>
      <c r="I140" s="16">
        <v>16.5</v>
      </c>
      <c r="J140" s="52">
        <v>0.74150346499999997</v>
      </c>
      <c r="K140" s="70">
        <f t="shared" si="39"/>
        <v>33.451493763344914</v>
      </c>
      <c r="L140" s="70">
        <f t="shared" si="40"/>
        <v>56.041941780000002</v>
      </c>
      <c r="M140" s="70">
        <f t="shared" si="41"/>
        <v>30.430230315149085</v>
      </c>
      <c r="N140" s="68">
        <f t="shared" si="34"/>
        <v>128.19405563521292</v>
      </c>
      <c r="O140" s="69">
        <f t="shared" si="42"/>
        <v>95.229817384068511</v>
      </c>
      <c r="P140" s="69">
        <f t="shared" si="43"/>
        <v>95.901089352373248</v>
      </c>
      <c r="Q140" s="69">
        <f t="shared" si="44"/>
        <v>93.105037121132554</v>
      </c>
      <c r="R140" s="69">
        <f t="shared" si="45"/>
        <v>75.645570401668365</v>
      </c>
      <c r="S140" s="69">
        <f t="shared" si="46"/>
        <v>73.369980780558322</v>
      </c>
      <c r="T140" s="68">
        <f t="shared" si="35"/>
        <v>62.029430373426734</v>
      </c>
      <c r="U140" s="68">
        <f t="shared" si="36"/>
        <v>39.461422810454756</v>
      </c>
      <c r="V140" s="69">
        <f t="shared" si="37"/>
        <v>86.6502990079602</v>
      </c>
      <c r="W140" s="69">
        <f t="shared" si="38"/>
        <v>9.9831839168784171</v>
      </c>
    </row>
    <row r="141" spans="1:23" x14ac:dyDescent="0.3">
      <c r="A141" s="59" t="s">
        <v>79</v>
      </c>
      <c r="B141" s="7" t="s">
        <v>26</v>
      </c>
      <c r="C141" s="16">
        <v>2</v>
      </c>
      <c r="D141" s="16">
        <v>3</v>
      </c>
      <c r="E141" s="16">
        <v>2</v>
      </c>
      <c r="F141" s="16">
        <v>668</v>
      </c>
      <c r="G141" s="16" t="s">
        <v>21</v>
      </c>
      <c r="H141" s="21">
        <v>13.9</v>
      </c>
      <c r="I141" s="16">
        <v>8.5</v>
      </c>
      <c r="J141" s="52">
        <v>0.77283480800000004</v>
      </c>
      <c r="K141" s="70">
        <f t="shared" si="39"/>
        <v>37.687153301887513</v>
      </c>
      <c r="L141" s="70">
        <f t="shared" si="40"/>
        <v>40.060258005000001</v>
      </c>
      <c r="M141" s="70">
        <f t="shared" si="41"/>
        <v>29.598830991029917</v>
      </c>
      <c r="N141" s="68">
        <f t="shared" si="34"/>
        <v>55.539691959815336</v>
      </c>
      <c r="O141" s="69">
        <f t="shared" si="42"/>
        <v>70.949119207486063</v>
      </c>
      <c r="P141" s="69">
        <f t="shared" si="43"/>
        <v>71.955736017915456</v>
      </c>
      <c r="Q141" s="69">
        <f t="shared" si="44"/>
        <v>109.76874844245815</v>
      </c>
      <c r="R141" s="69">
        <f t="shared" si="45"/>
        <v>115.29024176354243</v>
      </c>
      <c r="S141" s="69">
        <f t="shared" si="46"/>
        <v>111.62757020771788</v>
      </c>
      <c r="T141" s="68">
        <f t="shared" si="35"/>
        <v>40.721483564433193</v>
      </c>
      <c r="U141" s="68">
        <f t="shared" si="36"/>
        <v>9.3933098493057248</v>
      </c>
      <c r="V141" s="69">
        <f t="shared" si="37"/>
        <v>95.918283127823997</v>
      </c>
      <c r="W141" s="69">
        <f t="shared" si="38"/>
        <v>20.057680236007776</v>
      </c>
    </row>
    <row r="142" spans="1:23" x14ac:dyDescent="0.3">
      <c r="A142" s="59" t="s">
        <v>79</v>
      </c>
      <c r="B142" s="7" t="s">
        <v>20</v>
      </c>
      <c r="C142" s="16">
        <v>2</v>
      </c>
      <c r="D142" s="16">
        <v>3</v>
      </c>
      <c r="E142" s="16">
        <v>2</v>
      </c>
      <c r="F142" s="16">
        <v>722</v>
      </c>
      <c r="G142" s="16" t="s">
        <v>21</v>
      </c>
      <c r="H142" s="21">
        <v>21.2</v>
      </c>
      <c r="I142" s="16">
        <v>14.9</v>
      </c>
      <c r="J142" s="52">
        <v>0.74427674977799996</v>
      </c>
      <c r="K142" s="70">
        <f t="shared" si="39"/>
        <v>134.08255643965143</v>
      </c>
      <c r="L142" s="70">
        <f t="shared" si="40"/>
        <v>163.35152980800001</v>
      </c>
      <c r="M142" s="70">
        <f t="shared" si="41"/>
        <v>113.56695593679726</v>
      </c>
      <c r="N142" s="68">
        <f t="shared" si="34"/>
        <v>190.96905463761658</v>
      </c>
      <c r="O142" s="69">
        <f t="shared" si="42"/>
        <v>278.61484373922906</v>
      </c>
      <c r="P142" s="69">
        <f t="shared" si="43"/>
        <v>273.44204180539793</v>
      </c>
      <c r="Q142" s="69">
        <f t="shared" si="44"/>
        <v>310.85345891272357</v>
      </c>
      <c r="R142" s="69">
        <f t="shared" si="45"/>
        <v>289.64007028380144</v>
      </c>
      <c r="S142" s="69">
        <f t="shared" si="46"/>
        <v>281.49319329382621</v>
      </c>
      <c r="T142" s="68">
        <f t="shared" si="35"/>
        <v>150.4925242055163</v>
      </c>
      <c r="U142" s="68">
        <f t="shared" si="36"/>
        <v>29.310783744852422</v>
      </c>
      <c r="V142" s="69">
        <f t="shared" si="37"/>
        <v>286.80872160699562</v>
      </c>
      <c r="W142" s="69">
        <f t="shared" si="38"/>
        <v>13.116619473854803</v>
      </c>
    </row>
    <row r="143" spans="1:23" x14ac:dyDescent="0.3">
      <c r="A143" s="59" t="s">
        <v>80</v>
      </c>
      <c r="B143" s="7" t="s">
        <v>30</v>
      </c>
      <c r="C143" s="16">
        <v>1</v>
      </c>
      <c r="D143" s="16">
        <v>3</v>
      </c>
      <c r="E143" s="16">
        <v>1</v>
      </c>
      <c r="F143" s="16">
        <v>1725</v>
      </c>
      <c r="G143" s="16" t="s">
        <v>21</v>
      </c>
      <c r="H143" s="21">
        <v>12.7</v>
      </c>
      <c r="I143" s="7">
        <v>12.6</v>
      </c>
      <c r="J143" s="52">
        <v>0.70464479867099994</v>
      </c>
      <c r="K143" s="70">
        <f t="shared" si="39"/>
        <v>35.711011886163419</v>
      </c>
      <c r="L143" s="70">
        <f t="shared" si="40"/>
        <v>49.572771822</v>
      </c>
      <c r="M143" s="70">
        <f t="shared" si="41"/>
        <v>30.583630738506745</v>
      </c>
      <c r="N143" s="68">
        <f t="shared" si="34"/>
        <v>91.834328245872172</v>
      </c>
      <c r="O143" s="69">
        <f t="shared" si="42"/>
        <v>80.049762076918881</v>
      </c>
      <c r="P143" s="69">
        <f t="shared" si="43"/>
        <v>80.950687983819691</v>
      </c>
      <c r="Q143" s="69">
        <f t="shared" si="44"/>
        <v>93.899114663633753</v>
      </c>
      <c r="R143" s="69">
        <f t="shared" si="45"/>
        <v>84.413058295696203</v>
      </c>
      <c r="S143" s="69">
        <f t="shared" si="46"/>
        <v>82.135367085708069</v>
      </c>
      <c r="T143" s="68">
        <f t="shared" si="35"/>
        <v>51.925435673135581</v>
      </c>
      <c r="U143" s="68">
        <f t="shared" si="36"/>
        <v>24.065716850895729</v>
      </c>
      <c r="V143" s="69">
        <f t="shared" si="37"/>
        <v>84.289598021155314</v>
      </c>
      <c r="W143" s="69">
        <f t="shared" si="38"/>
        <v>5.0224156047893436</v>
      </c>
    </row>
    <row r="144" spans="1:23" x14ac:dyDescent="0.3">
      <c r="A144" s="59" t="s">
        <v>80</v>
      </c>
      <c r="B144" s="7" t="s">
        <v>20</v>
      </c>
      <c r="C144" s="16">
        <v>1</v>
      </c>
      <c r="D144" s="16">
        <v>2</v>
      </c>
      <c r="E144" s="16">
        <v>2</v>
      </c>
      <c r="F144" s="16">
        <v>7464</v>
      </c>
      <c r="G144" s="16" t="s">
        <v>21</v>
      </c>
      <c r="H144" s="21">
        <v>36</v>
      </c>
      <c r="I144" s="7">
        <v>19.399999999999999</v>
      </c>
      <c r="J144" s="52">
        <v>0.69239288301599988</v>
      </c>
      <c r="K144" s="70">
        <f t="shared" si="39"/>
        <v>546.78172360397923</v>
      </c>
      <c r="L144" s="70">
        <f t="shared" si="40"/>
        <v>613.29856319999999</v>
      </c>
      <c r="M144" s="70">
        <f t="shared" si="41"/>
        <v>466.22954861041967</v>
      </c>
      <c r="N144" s="68">
        <f t="shared" si="34"/>
        <v>465.9369876225266</v>
      </c>
      <c r="O144" s="69">
        <f t="shared" si="42"/>
        <v>973.13061214652851</v>
      </c>
      <c r="P144" s="69">
        <f t="shared" si="43"/>
        <v>926.8216434763774</v>
      </c>
      <c r="Q144" s="69">
        <f t="shared" si="44"/>
        <v>961.5155471711131</v>
      </c>
      <c r="R144" s="69">
        <f t="shared" si="45"/>
        <v>893.93763953517055</v>
      </c>
      <c r="S144" s="69">
        <f t="shared" si="46"/>
        <v>874.14253799480207</v>
      </c>
      <c r="T144" s="68">
        <f t="shared" si="35"/>
        <v>523.06170575923136</v>
      </c>
      <c r="U144" s="68">
        <f t="shared" si="36"/>
        <v>61.64101150152792</v>
      </c>
      <c r="V144" s="69">
        <f t="shared" si="37"/>
        <v>925.90959606479828</v>
      </c>
      <c r="W144" s="69">
        <f t="shared" si="38"/>
        <v>37.94858165995678</v>
      </c>
    </row>
    <row r="145" spans="1:23" x14ac:dyDescent="0.3">
      <c r="A145" s="59" t="s">
        <v>80</v>
      </c>
      <c r="B145" s="7" t="s">
        <v>20</v>
      </c>
      <c r="C145" s="16">
        <v>1</v>
      </c>
      <c r="D145" s="16">
        <v>3</v>
      </c>
      <c r="E145" s="16">
        <v>1</v>
      </c>
      <c r="F145" s="16">
        <v>3236</v>
      </c>
      <c r="G145" s="16" t="s">
        <v>21</v>
      </c>
      <c r="H145" s="21">
        <v>22.6</v>
      </c>
      <c r="I145" s="7">
        <v>22.5</v>
      </c>
      <c r="J145" s="52">
        <v>0.69081379869600001</v>
      </c>
      <c r="K145" s="70">
        <f t="shared" si="39"/>
        <v>186.66106814011201</v>
      </c>
      <c r="L145" s="70">
        <f t="shared" si="40"/>
        <v>280.32679530000001</v>
      </c>
      <c r="M145" s="70">
        <f t="shared" si="41"/>
        <v>170.73292187311665</v>
      </c>
      <c r="N145" s="68">
        <f t="shared" si="34"/>
        <v>375.28051998515804</v>
      </c>
      <c r="O145" s="69">
        <f t="shared" si="42"/>
        <v>443.78458021008146</v>
      </c>
      <c r="P145" s="69">
        <f t="shared" si="43"/>
        <v>430.70629062858717</v>
      </c>
      <c r="Q145" s="69">
        <f t="shared" si="44"/>
        <v>377.70120030949914</v>
      </c>
      <c r="R145" s="69">
        <f t="shared" si="45"/>
        <v>307.83858331102215</v>
      </c>
      <c r="S145" s="69">
        <f t="shared" si="46"/>
        <v>300.52898528529647</v>
      </c>
      <c r="T145" s="68">
        <f t="shared" si="35"/>
        <v>253.2503263245967</v>
      </c>
      <c r="U145" s="68">
        <f t="shared" si="36"/>
        <v>81.956931799542048</v>
      </c>
      <c r="V145" s="69">
        <f t="shared" si="37"/>
        <v>372.11192794889729</v>
      </c>
      <c r="W145" s="69">
        <f t="shared" si="38"/>
        <v>59.76067084100022</v>
      </c>
    </row>
    <row r="146" spans="1:23" x14ac:dyDescent="0.3">
      <c r="A146" s="59" t="s">
        <v>80</v>
      </c>
      <c r="B146" s="7" t="s">
        <v>30</v>
      </c>
      <c r="C146" s="16">
        <v>2</v>
      </c>
      <c r="D146" s="16">
        <v>1</v>
      </c>
      <c r="E146" s="16">
        <v>1</v>
      </c>
      <c r="F146" s="16">
        <v>77</v>
      </c>
      <c r="G146" s="16" t="s">
        <v>21</v>
      </c>
      <c r="H146" s="21">
        <v>33.200000000000003</v>
      </c>
      <c r="I146" s="7">
        <v>22.3</v>
      </c>
      <c r="J146" s="52">
        <v>0.77910847955999996</v>
      </c>
      <c r="K146" s="70">
        <f t="shared" si="39"/>
        <v>475.90914306298941</v>
      </c>
      <c r="L146" s="70">
        <f t="shared" si="40"/>
        <v>599.57876913600012</v>
      </c>
      <c r="M146" s="70">
        <f t="shared" si="41"/>
        <v>420.21566041661788</v>
      </c>
      <c r="N146" s="68">
        <f t="shared" si="34"/>
        <v>531.63012879925759</v>
      </c>
      <c r="O146" s="69">
        <f t="shared" si="42"/>
        <v>1070.5101007981182</v>
      </c>
      <c r="P146" s="69">
        <f t="shared" si="43"/>
        <v>1017.2360216209323</v>
      </c>
      <c r="Q146" s="69">
        <f t="shared" si="44"/>
        <v>964.98748938758945</v>
      </c>
      <c r="R146" s="69">
        <f t="shared" si="45"/>
        <v>850.18210684422093</v>
      </c>
      <c r="S146" s="69">
        <f t="shared" si="46"/>
        <v>825.51935065836074</v>
      </c>
      <c r="T146" s="68">
        <f t="shared" si="35"/>
        <v>506.83342535371622</v>
      </c>
      <c r="U146" s="68">
        <f t="shared" si="36"/>
        <v>66.474663844496675</v>
      </c>
      <c r="V146" s="69">
        <f t="shared" si="37"/>
        <v>945.68701386184443</v>
      </c>
      <c r="W146" s="69">
        <f t="shared" si="38"/>
        <v>94.48177225619898</v>
      </c>
    </row>
    <row r="147" spans="1:23" x14ac:dyDescent="0.3">
      <c r="A147" s="59" t="s">
        <v>80</v>
      </c>
      <c r="B147" s="7" t="s">
        <v>30</v>
      </c>
      <c r="C147" s="16">
        <v>2</v>
      </c>
      <c r="D147" s="16">
        <v>2</v>
      </c>
      <c r="E147" s="16">
        <v>1</v>
      </c>
      <c r="F147" s="16">
        <v>441</v>
      </c>
      <c r="G147" s="16" t="s">
        <v>21</v>
      </c>
      <c r="H147" s="21">
        <v>28.3</v>
      </c>
      <c r="I147" s="16">
        <v>21</v>
      </c>
      <c r="J147" s="52">
        <v>0.601380193482</v>
      </c>
      <c r="K147" s="70">
        <f t="shared" si="39"/>
        <v>314.06777938026067</v>
      </c>
      <c r="L147" s="70">
        <f t="shared" si="40"/>
        <v>410.25830516999997</v>
      </c>
      <c r="M147" s="70">
        <f t="shared" si="41"/>
        <v>277.83767355972458</v>
      </c>
      <c r="N147" s="68">
        <f t="shared" si="34"/>
        <v>418.26606836735533</v>
      </c>
      <c r="O147" s="69">
        <f t="shared" si="42"/>
        <v>565.39647188894014</v>
      </c>
      <c r="P147" s="69">
        <f t="shared" si="43"/>
        <v>545.55401913898083</v>
      </c>
      <c r="Q147" s="69">
        <f t="shared" si="44"/>
        <v>510.75572469207685</v>
      </c>
      <c r="R147" s="69">
        <f t="shared" si="45"/>
        <v>439.20890719743176</v>
      </c>
      <c r="S147" s="69">
        <f t="shared" si="46"/>
        <v>432.55738121283815</v>
      </c>
      <c r="T147" s="68">
        <f t="shared" si="35"/>
        <v>355.10745661933515</v>
      </c>
      <c r="U147" s="68">
        <f t="shared" si="36"/>
        <v>60.591874075164171</v>
      </c>
      <c r="V147" s="69">
        <f t="shared" si="37"/>
        <v>498.69450082605363</v>
      </c>
      <c r="W147" s="69">
        <f t="shared" si="38"/>
        <v>54.227474515087131</v>
      </c>
    </row>
    <row r="148" spans="1:23" x14ac:dyDescent="0.3">
      <c r="A148" s="59" t="s">
        <v>80</v>
      </c>
      <c r="B148" s="7" t="s">
        <v>44</v>
      </c>
      <c r="C148" s="16">
        <v>2</v>
      </c>
      <c r="D148" s="16">
        <v>3</v>
      </c>
      <c r="E148" s="16">
        <v>1</v>
      </c>
      <c r="F148" s="16">
        <v>701</v>
      </c>
      <c r="G148" s="16" t="s">
        <v>21</v>
      </c>
      <c r="H148" s="21">
        <v>17.600000000000001</v>
      </c>
      <c r="I148" s="16">
        <v>20.6</v>
      </c>
      <c r="J148" s="52">
        <v>0.62259741449999995</v>
      </c>
      <c r="K148" s="70">
        <f t="shared" si="39"/>
        <v>97.607947487617565</v>
      </c>
      <c r="L148" s="70">
        <f t="shared" si="40"/>
        <v>155.65309900800005</v>
      </c>
      <c r="M148" s="70">
        <f t="shared" si="41"/>
        <v>89.647532539117321</v>
      </c>
      <c r="N148" s="68">
        <f t="shared" si="34"/>
        <v>260.03959538099605</v>
      </c>
      <c r="O148" s="69">
        <f t="shared" si="42"/>
        <v>222.0811392765259</v>
      </c>
      <c r="P148" s="69">
        <f t="shared" si="43"/>
        <v>219.14750784255742</v>
      </c>
      <c r="Q148" s="69">
        <f t="shared" si="44"/>
        <v>193.35417813045208</v>
      </c>
      <c r="R148" s="69">
        <f t="shared" si="45"/>
        <v>154.41822653534749</v>
      </c>
      <c r="S148" s="69">
        <f t="shared" si="46"/>
        <v>151.5051813023432</v>
      </c>
      <c r="T148" s="68">
        <f t="shared" si="35"/>
        <v>150.73704360393276</v>
      </c>
      <c r="U148" s="68">
        <f t="shared" si="36"/>
        <v>68.054839361334757</v>
      </c>
      <c r="V148" s="69">
        <f t="shared" si="37"/>
        <v>188.10124661744521</v>
      </c>
      <c r="W148" s="69">
        <f t="shared" si="38"/>
        <v>30.397087258680255</v>
      </c>
    </row>
    <row r="149" spans="1:23" x14ac:dyDescent="0.3">
      <c r="A149" s="59" t="s">
        <v>81</v>
      </c>
      <c r="B149" s="17" t="s">
        <v>30</v>
      </c>
      <c r="C149" s="16">
        <v>1</v>
      </c>
      <c r="D149" s="16">
        <v>3</v>
      </c>
      <c r="E149" s="16">
        <v>1</v>
      </c>
      <c r="F149" s="16">
        <v>1727</v>
      </c>
      <c r="G149" s="16" t="s">
        <v>21</v>
      </c>
      <c r="H149" s="16">
        <v>35.700000000000003</v>
      </c>
      <c r="I149" s="16">
        <v>18.5</v>
      </c>
      <c r="J149" s="52">
        <v>0.655456186</v>
      </c>
      <c r="K149" s="70">
        <f t="shared" si="39"/>
        <v>525.04343016240477</v>
      </c>
      <c r="L149" s="70">
        <f t="shared" si="40"/>
        <v>575.13973954500023</v>
      </c>
      <c r="M149" s="70">
        <f t="shared" si="41"/>
        <v>443.7834954493606</v>
      </c>
      <c r="N149" s="68">
        <f t="shared" si="34"/>
        <v>430.63075389855419</v>
      </c>
      <c r="O149" s="69">
        <f t="shared" si="42"/>
        <v>863.9003204011492</v>
      </c>
      <c r="P149" s="69">
        <f t="shared" si="43"/>
        <v>825.14381284789249</v>
      </c>
      <c r="Q149" s="69">
        <f t="shared" si="44"/>
        <v>876.25710753253418</v>
      </c>
      <c r="R149" s="69">
        <f t="shared" si="45"/>
        <v>823.78449467139058</v>
      </c>
      <c r="S149" s="69">
        <f t="shared" si="46"/>
        <v>808.04272352185671</v>
      </c>
      <c r="T149" s="68">
        <f t="shared" si="35"/>
        <v>493.64935476382993</v>
      </c>
      <c r="U149" s="68">
        <f t="shared" si="36"/>
        <v>59.338475633651555</v>
      </c>
      <c r="V149" s="69">
        <f t="shared" si="37"/>
        <v>839.42569179496456</v>
      </c>
      <c r="W149" s="69">
        <f t="shared" si="38"/>
        <v>26.034862941803922</v>
      </c>
    </row>
    <row r="150" spans="1:23" x14ac:dyDescent="0.3">
      <c r="A150" s="59" t="s">
        <v>81</v>
      </c>
      <c r="B150" s="17" t="s">
        <v>26</v>
      </c>
      <c r="C150" s="16">
        <v>1</v>
      </c>
      <c r="D150" s="16">
        <v>1</v>
      </c>
      <c r="E150" s="16">
        <v>2</v>
      </c>
      <c r="F150" s="16">
        <v>1643</v>
      </c>
      <c r="G150" s="16" t="s">
        <v>21</v>
      </c>
      <c r="H150" s="16">
        <v>11.8</v>
      </c>
      <c r="I150" s="16">
        <v>13</v>
      </c>
      <c r="J150" s="52">
        <v>0.74557338574999998</v>
      </c>
      <c r="K150" s="70">
        <f t="shared" si="39"/>
        <v>30.23817067185875</v>
      </c>
      <c r="L150" s="70">
        <f t="shared" si="40"/>
        <v>44.154257160000007</v>
      </c>
      <c r="M150" s="70">
        <f t="shared" si="41"/>
        <v>26.226230671364615</v>
      </c>
      <c r="N150" s="68">
        <f t="shared" si="34"/>
        <v>89.796410063256843</v>
      </c>
      <c r="O150" s="69">
        <f t="shared" si="42"/>
        <v>75.441370903070862</v>
      </c>
      <c r="P150" s="69">
        <f t="shared" si="43"/>
        <v>76.399071711818493</v>
      </c>
      <c r="Q150" s="69">
        <f t="shared" si="44"/>
        <v>86.36338055908017</v>
      </c>
      <c r="R150" s="69">
        <f t="shared" si="45"/>
        <v>76.119953784100204</v>
      </c>
      <c r="S150" s="69">
        <f t="shared" si="46"/>
        <v>73.807021637402542</v>
      </c>
      <c r="T150" s="68">
        <f t="shared" si="35"/>
        <v>47.603767141620054</v>
      </c>
      <c r="U150" s="68">
        <f t="shared" si="36"/>
        <v>25.252134771706576</v>
      </c>
      <c r="V150" s="69">
        <f t="shared" si="37"/>
        <v>77.62615971909446</v>
      </c>
      <c r="W150" s="69">
        <f t="shared" si="38"/>
        <v>4.4603261575930571</v>
      </c>
    </row>
    <row r="151" spans="1:23" x14ac:dyDescent="0.3">
      <c r="A151" s="59" t="s">
        <v>81</v>
      </c>
      <c r="B151" s="7" t="s">
        <v>59</v>
      </c>
      <c r="C151" s="16">
        <v>2</v>
      </c>
      <c r="D151" s="16">
        <v>1</v>
      </c>
      <c r="E151" s="16"/>
      <c r="F151" s="16">
        <v>248</v>
      </c>
      <c r="G151" s="16" t="s">
        <v>21</v>
      </c>
      <c r="H151" s="21">
        <v>11.8</v>
      </c>
      <c r="I151" s="16">
        <v>10.199999999999999</v>
      </c>
      <c r="J151" s="52">
        <v>0.55602062475000003</v>
      </c>
      <c r="K151" s="70">
        <f t="shared" si="39"/>
        <v>27.285500972446329</v>
      </c>
      <c r="L151" s="70">
        <f t="shared" si="40"/>
        <v>34.644109464000003</v>
      </c>
      <c r="M151" s="70">
        <f t="shared" si="41"/>
        <v>22.544592748921026</v>
      </c>
      <c r="N151" s="68">
        <f t="shared" si="34"/>
        <v>62.511281147770461</v>
      </c>
      <c r="O151" s="69">
        <f t="shared" si="42"/>
        <v>44.143513376530535</v>
      </c>
      <c r="P151" s="69">
        <f t="shared" si="43"/>
        <v>45.28258696725802</v>
      </c>
      <c r="Q151" s="69">
        <f t="shared" si="44"/>
        <v>57.983402406397218</v>
      </c>
      <c r="R151" s="69">
        <f t="shared" si="45"/>
        <v>54.449707626965662</v>
      </c>
      <c r="S151" s="69">
        <f t="shared" si="46"/>
        <v>53.687011286027243</v>
      </c>
      <c r="T151" s="68">
        <f t="shared" si="35"/>
        <v>36.746371083284458</v>
      </c>
      <c r="U151" s="68">
        <f t="shared" si="36"/>
        <v>15.48748418610583</v>
      </c>
      <c r="V151" s="69">
        <f t="shared" si="37"/>
        <v>51.10924433263574</v>
      </c>
      <c r="W151" s="69">
        <f t="shared" si="38"/>
        <v>5.4319236098489689</v>
      </c>
    </row>
    <row r="152" spans="1:23" x14ac:dyDescent="0.3">
      <c r="A152" s="59" t="s">
        <v>81</v>
      </c>
      <c r="B152" s="7" t="s">
        <v>26</v>
      </c>
      <c r="C152" s="16">
        <v>2</v>
      </c>
      <c r="D152" s="16">
        <v>2</v>
      </c>
      <c r="E152" s="16">
        <v>2</v>
      </c>
      <c r="F152" s="16">
        <v>505</v>
      </c>
      <c r="G152" s="16" t="s">
        <v>21</v>
      </c>
      <c r="H152" s="21">
        <v>13.5</v>
      </c>
      <c r="I152" s="16">
        <v>10</v>
      </c>
      <c r="J152" s="52">
        <v>0.62179669599999998</v>
      </c>
      <c r="K152" s="70">
        <f t="shared" si="39"/>
        <v>37.59303105439146</v>
      </c>
      <c r="L152" s="70">
        <f t="shared" si="40"/>
        <v>44.456242500000002</v>
      </c>
      <c r="M152" s="70">
        <f t="shared" si="41"/>
        <v>30.578029904374578</v>
      </c>
      <c r="N152" s="68">
        <f t="shared" si="34"/>
        <v>68.876911429390475</v>
      </c>
      <c r="O152" s="69">
        <f t="shared" si="42"/>
        <v>63.347248345913997</v>
      </c>
      <c r="P152" s="69">
        <f t="shared" si="43"/>
        <v>64.42099502723562</v>
      </c>
      <c r="Q152" s="69">
        <f t="shared" si="44"/>
        <v>86.299700843789253</v>
      </c>
      <c r="R152" s="69">
        <f t="shared" si="45"/>
        <v>84.133430155676535</v>
      </c>
      <c r="S152" s="69">
        <f t="shared" si="46"/>
        <v>82.469194799934115</v>
      </c>
      <c r="T152" s="68">
        <f t="shared" si="35"/>
        <v>45.376053722039131</v>
      </c>
      <c r="U152" s="68">
        <f t="shared" si="36"/>
        <v>14.428212956033818</v>
      </c>
      <c r="V152" s="69">
        <f t="shared" si="37"/>
        <v>76.134113834509918</v>
      </c>
      <c r="W152" s="69">
        <f t="shared" si="38"/>
        <v>10.08129508450722</v>
      </c>
    </row>
    <row r="153" spans="1:23" x14ac:dyDescent="0.3">
      <c r="A153" s="59" t="s">
        <v>81</v>
      </c>
      <c r="B153" s="7" t="s">
        <v>30</v>
      </c>
      <c r="C153" s="16">
        <v>2</v>
      </c>
      <c r="D153" s="16">
        <v>3</v>
      </c>
      <c r="E153" s="16">
        <v>2</v>
      </c>
      <c r="F153" s="16">
        <v>599</v>
      </c>
      <c r="G153" s="16" t="s">
        <v>21</v>
      </c>
      <c r="H153" s="30">
        <f>SQRT(17.8^2+14^2)</f>
        <v>22.645970944077447</v>
      </c>
      <c r="I153" s="16">
        <v>13.7</v>
      </c>
      <c r="J153" s="52">
        <v>0.63040140150000001</v>
      </c>
      <c r="K153" s="70">
        <f t="shared" si="39"/>
        <v>152.03371618228942</v>
      </c>
      <c r="L153" s="70">
        <f t="shared" si="40"/>
        <v>171.38297384400002</v>
      </c>
      <c r="M153" s="70">
        <f t="shared" si="41"/>
        <v>125.90171332029291</v>
      </c>
      <c r="N153" s="68">
        <f t="shared" si="34"/>
        <v>179.24770762276265</v>
      </c>
      <c r="O153" s="69">
        <f t="shared" si="42"/>
        <v>247.58905177556244</v>
      </c>
      <c r="P153" s="69">
        <f t="shared" si="43"/>
        <v>243.68175949303929</v>
      </c>
      <c r="Q153" s="69">
        <f t="shared" si="44"/>
        <v>290.36835324500231</v>
      </c>
      <c r="R153" s="69">
        <f t="shared" si="45"/>
        <v>278.57840064113606</v>
      </c>
      <c r="S153" s="69">
        <f t="shared" si="46"/>
        <v>273.39053849993428</v>
      </c>
      <c r="T153" s="68">
        <f t="shared" si="35"/>
        <v>157.14152774233625</v>
      </c>
      <c r="U153" s="68">
        <f t="shared" si="36"/>
        <v>20.576185992726032</v>
      </c>
      <c r="V153" s="69">
        <f t="shared" si="37"/>
        <v>266.72162073093489</v>
      </c>
      <c r="W153" s="69">
        <f t="shared" si="38"/>
        <v>18.116931601869258</v>
      </c>
    </row>
    <row r="154" spans="1:23" x14ac:dyDescent="0.3">
      <c r="A154" s="59" t="s">
        <v>82</v>
      </c>
      <c r="B154" s="7" t="s">
        <v>20</v>
      </c>
      <c r="C154" s="16">
        <v>1</v>
      </c>
      <c r="D154" s="16">
        <v>1</v>
      </c>
      <c r="E154" s="16">
        <v>2</v>
      </c>
      <c r="F154" s="16">
        <v>2012</v>
      </c>
      <c r="G154" s="16" t="s">
        <v>21</v>
      </c>
      <c r="H154" s="21">
        <v>10.4</v>
      </c>
      <c r="I154" s="16">
        <v>8.9</v>
      </c>
      <c r="J154" s="52">
        <v>0.323709941</v>
      </c>
      <c r="K154" s="70">
        <f t="shared" si="39"/>
        <v>18.916272670815371</v>
      </c>
      <c r="L154" s="70">
        <f t="shared" si="40"/>
        <v>23.481287232000003</v>
      </c>
      <c r="M154" s="70">
        <f t="shared" si="41"/>
        <v>15.377219236206397</v>
      </c>
      <c r="N154" s="68">
        <f t="shared" si="34"/>
        <v>45.287155765706899</v>
      </c>
      <c r="O154" s="69">
        <f t="shared" si="42"/>
        <v>17.41905256590579</v>
      </c>
      <c r="P154" s="69">
        <f t="shared" si="43"/>
        <v>18.271789392578764</v>
      </c>
      <c r="Q154" s="69">
        <f t="shared" si="44"/>
        <v>23.681908605441372</v>
      </c>
      <c r="R154" s="69">
        <f t="shared" si="45"/>
        <v>21.998401062498111</v>
      </c>
      <c r="S154" s="69">
        <f t="shared" si="46"/>
        <v>22.359966426758749</v>
      </c>
      <c r="T154" s="68">
        <f t="shared" si="35"/>
        <v>25.765483726182168</v>
      </c>
      <c r="U154" s="68">
        <f t="shared" si="36"/>
        <v>11.631218380262727</v>
      </c>
      <c r="V154" s="69">
        <f t="shared" si="37"/>
        <v>20.746223610636555</v>
      </c>
      <c r="W154" s="69">
        <f t="shared" si="38"/>
        <v>2.4488059333744361</v>
      </c>
    </row>
    <row r="155" spans="1:23" x14ac:dyDescent="0.3">
      <c r="A155" s="59" t="s">
        <v>82</v>
      </c>
      <c r="B155" s="7" t="s">
        <v>24</v>
      </c>
      <c r="C155" s="16">
        <v>1</v>
      </c>
      <c r="D155" s="16">
        <v>3</v>
      </c>
      <c r="E155" s="16">
        <v>2</v>
      </c>
      <c r="F155" s="16">
        <v>1269</v>
      </c>
      <c r="G155" s="16" t="s">
        <v>21</v>
      </c>
      <c r="H155" s="21">
        <v>18.8</v>
      </c>
      <c r="I155" s="16">
        <v>10.3</v>
      </c>
      <c r="J155" s="52">
        <v>0.325017326</v>
      </c>
      <c r="K155" s="70">
        <f t="shared" si="39"/>
        <v>85.498530071832846</v>
      </c>
      <c r="L155" s="70">
        <f t="shared" si="40"/>
        <v>88.801057776000022</v>
      </c>
      <c r="M155" s="70">
        <f t="shared" si="41"/>
        <v>67.968652875324267</v>
      </c>
      <c r="N155" s="68">
        <f t="shared" si="34"/>
        <v>98.280647578817252</v>
      </c>
      <c r="O155" s="69">
        <f t="shared" si="42"/>
        <v>66.141074203578114</v>
      </c>
      <c r="P155" s="69">
        <f t="shared" si="43"/>
        <v>67.192542383135475</v>
      </c>
      <c r="Q155" s="69">
        <f t="shared" si="44"/>
        <v>87.177966375602537</v>
      </c>
      <c r="R155" s="69">
        <f t="shared" si="45"/>
        <v>85.45040791684437</v>
      </c>
      <c r="S155" s="69">
        <f t="shared" si="46"/>
        <v>87.030462753502846</v>
      </c>
      <c r="T155" s="68">
        <f t="shared" si="35"/>
        <v>85.137222075493597</v>
      </c>
      <c r="U155" s="68">
        <f t="shared" si="36"/>
        <v>10.966581484799034</v>
      </c>
      <c r="V155" s="69">
        <f t="shared" si="37"/>
        <v>78.598490726532674</v>
      </c>
      <c r="W155" s="69">
        <f t="shared" si="38"/>
        <v>9.7666494551417955</v>
      </c>
    </row>
    <row r="156" spans="1:23" x14ac:dyDescent="0.3">
      <c r="A156" s="59" t="s">
        <v>82</v>
      </c>
      <c r="B156" s="7" t="s">
        <v>24</v>
      </c>
      <c r="C156" s="16">
        <v>1</v>
      </c>
      <c r="D156" s="16">
        <v>1</v>
      </c>
      <c r="E156" s="16">
        <v>2</v>
      </c>
      <c r="F156" s="16">
        <v>1695</v>
      </c>
      <c r="G156" s="16" t="s">
        <v>21</v>
      </c>
      <c r="H156" s="21">
        <v>25.8</v>
      </c>
      <c r="I156" s="16">
        <v>16</v>
      </c>
      <c r="J156" s="52">
        <v>0.347065495</v>
      </c>
      <c r="K156" s="70">
        <f t="shared" si="39"/>
        <v>223.28248625374431</v>
      </c>
      <c r="L156" s="70">
        <f t="shared" si="40"/>
        <v>259.79130431999999</v>
      </c>
      <c r="M156" s="70">
        <f t="shared" si="41"/>
        <v>188.5808562737802</v>
      </c>
      <c r="N156" s="68">
        <f t="shared" si="34"/>
        <v>255.46945884967622</v>
      </c>
      <c r="O156" s="69">
        <f t="shared" si="42"/>
        <v>206.62489269650592</v>
      </c>
      <c r="P156" s="69">
        <f t="shared" si="43"/>
        <v>204.24874532059059</v>
      </c>
      <c r="Q156" s="69">
        <f t="shared" si="44"/>
        <v>211.92744102168967</v>
      </c>
      <c r="R156" s="69">
        <f t="shared" si="45"/>
        <v>189.7841717683188</v>
      </c>
      <c r="S156" s="69">
        <f t="shared" si="46"/>
        <v>192.80214672770688</v>
      </c>
      <c r="T156" s="68">
        <f t="shared" si="35"/>
        <v>231.78102642430019</v>
      </c>
      <c r="U156" s="68">
        <f t="shared" si="36"/>
        <v>28.653958647237378</v>
      </c>
      <c r="V156" s="69">
        <f t="shared" si="37"/>
        <v>201.07747950696239</v>
      </c>
      <c r="W156" s="69">
        <f t="shared" si="38"/>
        <v>8.4210725814993364</v>
      </c>
    </row>
    <row r="157" spans="1:23" x14ac:dyDescent="0.3">
      <c r="A157" s="59" t="s">
        <v>82</v>
      </c>
      <c r="B157" s="7" t="s">
        <v>26</v>
      </c>
      <c r="C157" s="16">
        <v>2</v>
      </c>
      <c r="D157" s="16">
        <v>2</v>
      </c>
      <c r="E157" s="16">
        <v>1</v>
      </c>
      <c r="F157" s="16">
        <v>492</v>
      </c>
      <c r="G157" s="16" t="s">
        <v>21</v>
      </c>
      <c r="H157" s="21">
        <v>14.5</v>
      </c>
      <c r="I157" s="16">
        <v>8.3000000000000007</v>
      </c>
      <c r="J157" s="52">
        <v>0.28791350799999998</v>
      </c>
      <c r="K157" s="70">
        <f t="shared" si="39"/>
        <v>41.36722064431266</v>
      </c>
      <c r="L157" s="70">
        <f t="shared" si="40"/>
        <v>42.567614475000006</v>
      </c>
      <c r="M157" s="70">
        <f t="shared" si="41"/>
        <v>32.216002384905956</v>
      </c>
      <c r="N157" s="68">
        <f t="shared" si="34"/>
        <v>55.772264468045975</v>
      </c>
      <c r="O157" s="69">
        <f t="shared" si="42"/>
        <v>28.085874171996291</v>
      </c>
      <c r="P157" s="69">
        <f t="shared" si="43"/>
        <v>29.124962499737148</v>
      </c>
      <c r="Q157" s="69">
        <f t="shared" si="44"/>
        <v>41.100201918369841</v>
      </c>
      <c r="R157" s="69">
        <f t="shared" si="45"/>
        <v>41.110647816329198</v>
      </c>
      <c r="S157" s="69">
        <f t="shared" si="46"/>
        <v>42.120049294663289</v>
      </c>
      <c r="T157" s="68">
        <f t="shared" si="35"/>
        <v>42.980775493066147</v>
      </c>
      <c r="U157" s="68">
        <f t="shared" si="36"/>
        <v>8.40054747537304</v>
      </c>
      <c r="V157" s="69">
        <f t="shared" si="37"/>
        <v>36.308347140219155</v>
      </c>
      <c r="W157" s="69">
        <f t="shared" si="38"/>
        <v>6.308881399057868</v>
      </c>
    </row>
    <row r="158" spans="1:23" x14ac:dyDescent="0.3">
      <c r="A158" s="59" t="s">
        <v>82</v>
      </c>
      <c r="B158" s="7" t="s">
        <v>20</v>
      </c>
      <c r="C158" s="16">
        <v>2</v>
      </c>
      <c r="D158" s="16">
        <v>2</v>
      </c>
      <c r="E158" s="16">
        <v>2</v>
      </c>
      <c r="F158" s="16">
        <v>332</v>
      </c>
      <c r="G158" s="16" t="s">
        <v>21</v>
      </c>
      <c r="H158" s="21">
        <v>25.2</v>
      </c>
      <c r="I158" s="16">
        <v>10.4</v>
      </c>
      <c r="J158" s="52">
        <v>0.31213714199999998</v>
      </c>
      <c r="K158" s="70">
        <f t="shared" si="39"/>
        <v>175.64481115433207</v>
      </c>
      <c r="L158" s="70">
        <f t="shared" si="40"/>
        <v>161.10151948800001</v>
      </c>
      <c r="M158" s="70">
        <f t="shared" si="41"/>
        <v>136.37923905312795</v>
      </c>
      <c r="N158" s="68">
        <f t="shared" si="34"/>
        <v>131.33159075323778</v>
      </c>
      <c r="O158" s="69">
        <f t="shared" si="42"/>
        <v>115.2369295963861</v>
      </c>
      <c r="P158" s="69">
        <f t="shared" si="43"/>
        <v>115.5193183976905</v>
      </c>
      <c r="Q158" s="69">
        <f t="shared" si="44"/>
        <v>155.38254365784886</v>
      </c>
      <c r="R158" s="69">
        <f t="shared" si="45"/>
        <v>159.33287981786248</v>
      </c>
      <c r="S158" s="69">
        <f t="shared" si="46"/>
        <v>162.83539693790161</v>
      </c>
      <c r="T158" s="68">
        <f t="shared" si="35"/>
        <v>151.11429011217444</v>
      </c>
      <c r="U158" s="68">
        <f t="shared" si="36"/>
        <v>18.096740983143143</v>
      </c>
      <c r="V158" s="69">
        <f t="shared" si="37"/>
        <v>141.66141368153791</v>
      </c>
      <c r="W158" s="69">
        <f t="shared" si="38"/>
        <v>21.589581724392339</v>
      </c>
    </row>
    <row r="159" spans="1:23" x14ac:dyDescent="0.3">
      <c r="A159" s="59" t="s">
        <v>82</v>
      </c>
      <c r="B159" s="7" t="s">
        <v>20</v>
      </c>
      <c r="C159" s="16">
        <v>2</v>
      </c>
      <c r="D159" s="16">
        <v>3</v>
      </c>
      <c r="E159" s="16">
        <v>1</v>
      </c>
      <c r="F159" s="16">
        <v>715</v>
      </c>
      <c r="G159" s="16" t="s">
        <v>21</v>
      </c>
      <c r="H159" s="21">
        <v>26.2</v>
      </c>
      <c r="I159" s="16">
        <v>9.4</v>
      </c>
      <c r="J159" s="52">
        <v>0.36517019699999997</v>
      </c>
      <c r="K159" s="70">
        <f t="shared" si="39"/>
        <v>185.06803901781493</v>
      </c>
      <c r="L159" s="70">
        <f t="shared" si="40"/>
        <v>157.39671064800001</v>
      </c>
      <c r="M159" s="70">
        <f t="shared" si="41"/>
        <v>140.3432547378593</v>
      </c>
      <c r="N159" s="68">
        <f t="shared" si="34"/>
        <v>117.13831691379083</v>
      </c>
      <c r="O159" s="69">
        <f t="shared" si="42"/>
        <v>131.7157077828702</v>
      </c>
      <c r="P159" s="69">
        <f t="shared" si="43"/>
        <v>131.61561213133069</v>
      </c>
      <c r="Q159" s="69">
        <f t="shared" si="44"/>
        <v>192.98891385530942</v>
      </c>
      <c r="R159" s="69">
        <f t="shared" si="45"/>
        <v>208.32628713787841</v>
      </c>
      <c r="S159" s="69">
        <f t="shared" si="46"/>
        <v>211.03784823808533</v>
      </c>
      <c r="T159" s="68">
        <f t="shared" si="35"/>
        <v>149.98658032936626</v>
      </c>
      <c r="U159" s="68">
        <f t="shared" si="36"/>
        <v>24.787198878308672</v>
      </c>
      <c r="V159" s="69">
        <f t="shared" si="37"/>
        <v>175.13687382909481</v>
      </c>
      <c r="W159" s="69">
        <f t="shared" si="38"/>
        <v>36.023909651710163</v>
      </c>
    </row>
    <row r="160" spans="1:23" x14ac:dyDescent="0.3">
      <c r="A160" s="59" t="s">
        <v>83</v>
      </c>
      <c r="B160" s="7" t="s">
        <v>30</v>
      </c>
      <c r="C160" s="16">
        <v>2</v>
      </c>
      <c r="D160" s="16">
        <v>1</v>
      </c>
      <c r="E160" s="16"/>
      <c r="F160" s="16">
        <v>496</v>
      </c>
      <c r="G160" s="16" t="s">
        <v>84</v>
      </c>
      <c r="H160" s="21">
        <v>19.899999999999999</v>
      </c>
      <c r="I160" s="16">
        <v>8.1</v>
      </c>
      <c r="J160" s="52">
        <v>0.70277513399999991</v>
      </c>
      <c r="K160" s="70">
        <f t="shared" si="39"/>
        <v>88.73482079086854</v>
      </c>
      <c r="L160" s="70">
        <f t="shared" si="40"/>
        <v>78.244962632999986</v>
      </c>
      <c r="M160" s="70">
        <f t="shared" si="41"/>
        <v>66.899473902162157</v>
      </c>
      <c r="N160" s="68">
        <f t="shared" si="34"/>
        <v>72.421246939961222</v>
      </c>
      <c r="O160" s="69">
        <f t="shared" si="42"/>
        <v>126.01416505337775</v>
      </c>
      <c r="P160" s="69">
        <f t="shared" si="43"/>
        <v>126.0522032793059</v>
      </c>
      <c r="Q160" s="69">
        <f t="shared" si="44"/>
        <v>207.84129857099856</v>
      </c>
      <c r="R160" s="69">
        <f t="shared" si="45"/>
        <v>234.75969946375474</v>
      </c>
      <c r="S160" s="69">
        <f t="shared" si="46"/>
        <v>228.85014156193392</v>
      </c>
      <c r="T160" s="68">
        <f t="shared" si="35"/>
        <v>76.575126066497972</v>
      </c>
      <c r="U160" s="68">
        <f t="shared" si="36"/>
        <v>8.0857820671814622</v>
      </c>
      <c r="V160" s="69">
        <f t="shared" si="37"/>
        <v>184.70350158587416</v>
      </c>
      <c r="W160" s="69">
        <f t="shared" si="38"/>
        <v>48.73257520829555</v>
      </c>
    </row>
    <row r="161" spans="1:23" x14ac:dyDescent="0.3">
      <c r="A161" s="59" t="s">
        <v>83</v>
      </c>
      <c r="B161" s="7" t="s">
        <v>30</v>
      </c>
      <c r="C161" s="16">
        <v>1</v>
      </c>
      <c r="D161" s="16">
        <v>2</v>
      </c>
      <c r="E161" s="16">
        <v>1</v>
      </c>
      <c r="F161" s="16">
        <v>4964</v>
      </c>
      <c r="G161" s="16" t="s">
        <v>84</v>
      </c>
      <c r="H161" s="30">
        <f>SQRT(19.9^2+5.5^2)</f>
        <v>20.646065000382034</v>
      </c>
      <c r="I161" s="16">
        <v>9.6</v>
      </c>
      <c r="J161" s="52">
        <v>0.67274608633333344</v>
      </c>
      <c r="K161" s="70">
        <f t="shared" si="39"/>
        <v>104.3290347583855</v>
      </c>
      <c r="L161" s="70">
        <f t="shared" si="40"/>
        <v>99.818497727999997</v>
      </c>
      <c r="M161" s="70">
        <f t="shared" si="41"/>
        <v>81.114880691180701</v>
      </c>
      <c r="N161" s="68">
        <f t="shared" si="34"/>
        <v>96.621475694096503</v>
      </c>
      <c r="O161" s="69">
        <f t="shared" si="42"/>
        <v>153.88943370152612</v>
      </c>
      <c r="P161" s="69">
        <f t="shared" si="43"/>
        <v>153.19935258295473</v>
      </c>
      <c r="Q161" s="69">
        <f t="shared" si="44"/>
        <v>227.04938177052773</v>
      </c>
      <c r="R161" s="69">
        <f t="shared" si="45"/>
        <v>242.92629339711911</v>
      </c>
      <c r="S161" s="69">
        <f t="shared" si="46"/>
        <v>237.43559012596424</v>
      </c>
      <c r="T161" s="68">
        <f t="shared" si="35"/>
        <v>95.470972217915673</v>
      </c>
      <c r="U161" s="68">
        <f t="shared" si="36"/>
        <v>8.7290788775850316</v>
      </c>
      <c r="V161" s="69">
        <f t="shared" si="37"/>
        <v>202.9000103156184</v>
      </c>
      <c r="W161" s="69">
        <f t="shared" si="38"/>
        <v>40.62066900219525</v>
      </c>
    </row>
    <row r="162" spans="1:23" x14ac:dyDescent="0.3">
      <c r="A162" s="59" t="s">
        <v>83</v>
      </c>
      <c r="B162" s="7" t="s">
        <v>30</v>
      </c>
      <c r="C162" s="16">
        <v>1</v>
      </c>
      <c r="D162" s="16">
        <v>2</v>
      </c>
      <c r="E162" s="16">
        <v>2</v>
      </c>
      <c r="F162" s="16">
        <v>4974</v>
      </c>
      <c r="G162" s="16" t="s">
        <v>84</v>
      </c>
      <c r="H162" s="30">
        <f>SQRT(29.5^2+16.4^2)</f>
        <v>33.752185114448515</v>
      </c>
      <c r="I162" s="16">
        <v>12.3</v>
      </c>
      <c r="J162" s="52">
        <v>0.68866875125000004</v>
      </c>
      <c r="K162" s="70">
        <f t="shared" si="39"/>
        <v>385.09611420242976</v>
      </c>
      <c r="L162" s="70">
        <f t="shared" si="40"/>
        <v>341.80161921900003</v>
      </c>
      <c r="M162" s="70">
        <f t="shared" si="41"/>
        <v>301.44679290921027</v>
      </c>
      <c r="N162" s="68">
        <f t="shared" si="34"/>
        <v>222.07381546551636</v>
      </c>
      <c r="O162" s="69">
        <f t="shared" si="42"/>
        <v>539.42501825963268</v>
      </c>
      <c r="P162" s="69">
        <f t="shared" si="43"/>
        <v>521.08176874318247</v>
      </c>
      <c r="Q162" s="69">
        <f t="shared" si="44"/>
        <v>714.60756926936153</v>
      </c>
      <c r="R162" s="69">
        <f t="shared" si="45"/>
        <v>766.78426299137652</v>
      </c>
      <c r="S162" s="69">
        <f t="shared" si="46"/>
        <v>749.85201061340013</v>
      </c>
      <c r="T162" s="68">
        <f t="shared" ref="T162:T179" si="47">AVERAGE(K162:N162)</f>
        <v>312.60458544903912</v>
      </c>
      <c r="U162" s="68">
        <f t="shared" ref="U162:U179" si="48">_xlfn.STDEV.P(K162:N162)</f>
        <v>60.057899501521234</v>
      </c>
      <c r="V162" s="69">
        <f t="shared" ref="V162:V179" si="49">AVERAGE(O162:S162)</f>
        <v>658.35012597539071</v>
      </c>
      <c r="W162" s="69">
        <f t="shared" ref="W162:W179" si="50">_xlfn.STDEV.P(O162:S162)</f>
        <v>106.09546647347115</v>
      </c>
    </row>
    <row r="163" spans="1:23" x14ac:dyDescent="0.3">
      <c r="A163" s="59" t="s">
        <v>83</v>
      </c>
      <c r="B163" s="7" t="s">
        <v>30</v>
      </c>
      <c r="C163" s="16">
        <v>1</v>
      </c>
      <c r="D163" s="16">
        <v>1</v>
      </c>
      <c r="E163" s="16">
        <v>1</v>
      </c>
      <c r="F163" s="16">
        <v>1312</v>
      </c>
      <c r="G163" s="16" t="s">
        <v>84</v>
      </c>
      <c r="H163" s="30">
        <f>SQRT(4.9^2 + 2^2 + 5.4^2 + 22^2)</f>
        <v>23.263060847618483</v>
      </c>
      <c r="I163" s="16">
        <v>6.3</v>
      </c>
      <c r="J163" s="52">
        <v>0.59479381399999998</v>
      </c>
      <c r="K163" s="70">
        <f t="shared" si="39"/>
        <v>116.82975550176413</v>
      </c>
      <c r="L163" s="70">
        <f t="shared" si="40"/>
        <v>83.164786802999998</v>
      </c>
      <c r="M163" s="70">
        <f t="shared" si="41"/>
        <v>82.632095889682859</v>
      </c>
      <c r="N163" s="68">
        <f t="shared" si="34"/>
        <v>57.630022196569826</v>
      </c>
      <c r="O163" s="69">
        <f t="shared" si="42"/>
        <v>113.35808842609254</v>
      </c>
      <c r="P163" s="69">
        <f t="shared" si="43"/>
        <v>113.68071413219943</v>
      </c>
      <c r="Q163" s="69">
        <f t="shared" si="44"/>
        <v>221.65687937476713</v>
      </c>
      <c r="R163" s="69">
        <f t="shared" si="45"/>
        <v>277.19072933270672</v>
      </c>
      <c r="S163" s="69">
        <f t="shared" si="46"/>
        <v>272.96120446425886</v>
      </c>
      <c r="T163" s="68">
        <f t="shared" si="47"/>
        <v>85.064165097754199</v>
      </c>
      <c r="U163" s="68">
        <f t="shared" si="48"/>
        <v>21.042858224213312</v>
      </c>
      <c r="V163" s="69">
        <f t="shared" si="49"/>
        <v>199.76952314600493</v>
      </c>
      <c r="W163" s="69">
        <f t="shared" si="50"/>
        <v>73.086716757630469</v>
      </c>
    </row>
    <row r="164" spans="1:23" x14ac:dyDescent="0.3">
      <c r="A164" s="59" t="s">
        <v>83</v>
      </c>
      <c r="B164" s="7" t="s">
        <v>30</v>
      </c>
      <c r="C164" s="16">
        <v>1</v>
      </c>
      <c r="D164" s="16">
        <v>1</v>
      </c>
      <c r="E164" s="16"/>
      <c r="F164" s="16">
        <v>2876</v>
      </c>
      <c r="G164" s="16" t="s">
        <v>84</v>
      </c>
      <c r="H164" s="21">
        <v>30.6</v>
      </c>
      <c r="I164" s="16">
        <v>12</v>
      </c>
      <c r="J164" s="52">
        <v>0.69101458650000003</v>
      </c>
      <c r="K164" s="70">
        <f t="shared" si="39"/>
        <v>299.90744303611081</v>
      </c>
      <c r="L164" s="70">
        <f t="shared" si="40"/>
        <v>274.08755376000005</v>
      </c>
      <c r="M164" s="70">
        <f t="shared" si="41"/>
        <v>235.60823227109609</v>
      </c>
      <c r="N164" s="68">
        <f t="shared" si="34"/>
        <v>195.18636289217085</v>
      </c>
      <c r="O164" s="69">
        <f t="shared" si="42"/>
        <v>434.03337093871602</v>
      </c>
      <c r="P164" s="69">
        <f t="shared" si="43"/>
        <v>421.46712682752604</v>
      </c>
      <c r="Q164" s="69">
        <f t="shared" si="44"/>
        <v>578.31873944139909</v>
      </c>
      <c r="R164" s="69">
        <f t="shared" si="45"/>
        <v>615.3151143836659</v>
      </c>
      <c r="S164" s="69">
        <f t="shared" si="46"/>
        <v>601.38669979035876</v>
      </c>
      <c r="T164" s="68">
        <f t="shared" si="47"/>
        <v>251.19739798984443</v>
      </c>
      <c r="U164" s="68">
        <f t="shared" si="48"/>
        <v>39.613400069013196</v>
      </c>
      <c r="V164" s="69">
        <f t="shared" si="49"/>
        <v>530.10421027633311</v>
      </c>
      <c r="W164" s="69">
        <f t="shared" si="50"/>
        <v>84.49657316603188</v>
      </c>
    </row>
    <row r="165" spans="1:23" x14ac:dyDescent="0.3">
      <c r="A165" s="59" t="s">
        <v>85</v>
      </c>
      <c r="B165" s="7" t="s">
        <v>30</v>
      </c>
      <c r="C165" s="16">
        <v>1</v>
      </c>
      <c r="D165" s="16">
        <v>1</v>
      </c>
      <c r="E165" s="16">
        <v>2</v>
      </c>
      <c r="F165" s="16">
        <v>1323</v>
      </c>
      <c r="G165" s="16" t="s">
        <v>86</v>
      </c>
      <c r="H165" s="21">
        <v>22.3</v>
      </c>
      <c r="I165" s="16">
        <v>14</v>
      </c>
      <c r="J165" s="52">
        <v>0.52661747799999992</v>
      </c>
      <c r="K165" s="70">
        <f t="shared" si="39"/>
        <v>147.77074175739691</v>
      </c>
      <c r="L165" s="70">
        <f t="shared" si="40"/>
        <v>169.82552958000002</v>
      </c>
      <c r="M165" s="70">
        <f t="shared" si="41"/>
        <v>123.0676211079783</v>
      </c>
      <c r="N165" s="68">
        <f t="shared" si="34"/>
        <v>182.47975058992478</v>
      </c>
      <c r="O165" s="69">
        <f t="shared" si="42"/>
        <v>204.94854456965359</v>
      </c>
      <c r="P165" s="69">
        <f t="shared" si="43"/>
        <v>202.63128668042239</v>
      </c>
      <c r="Q165" s="69">
        <f t="shared" si="44"/>
        <v>233.29363976011305</v>
      </c>
      <c r="R165" s="69">
        <f t="shared" si="45"/>
        <v>219.00401020409018</v>
      </c>
      <c r="S165" s="69">
        <f t="shared" si="46"/>
        <v>217.13181392132125</v>
      </c>
      <c r="T165" s="68">
        <f t="shared" si="47"/>
        <v>155.78591075882503</v>
      </c>
      <c r="U165" s="68">
        <f t="shared" si="48"/>
        <v>22.607528576618158</v>
      </c>
      <c r="V165" s="69">
        <f t="shared" si="49"/>
        <v>215.40185902712011</v>
      </c>
      <c r="W165" s="69">
        <f t="shared" si="50"/>
        <v>11.031258822492868</v>
      </c>
    </row>
    <row r="166" spans="1:23" x14ac:dyDescent="0.3">
      <c r="A166" s="59" t="s">
        <v>85</v>
      </c>
      <c r="B166" s="7" t="s">
        <v>30</v>
      </c>
      <c r="C166" s="16">
        <v>1</v>
      </c>
      <c r="D166" s="16">
        <v>3</v>
      </c>
      <c r="E166" s="16">
        <v>1</v>
      </c>
      <c r="F166" s="16">
        <v>1720</v>
      </c>
      <c r="G166" s="16" t="s">
        <v>86</v>
      </c>
      <c r="H166" s="21">
        <v>24.6</v>
      </c>
      <c r="I166" s="16">
        <v>17.399999999999999</v>
      </c>
      <c r="J166" s="52">
        <v>0.52435211349999999</v>
      </c>
      <c r="K166" s="70">
        <f t="shared" si="39"/>
        <v>205.94266594907864</v>
      </c>
      <c r="L166" s="70">
        <f t="shared" si="40"/>
        <v>256.85302111200008</v>
      </c>
      <c r="M166" s="70">
        <f t="shared" si="41"/>
        <v>177.61356784932002</v>
      </c>
      <c r="N166" s="68">
        <f t="shared" si="34"/>
        <v>276.87767477597674</v>
      </c>
      <c r="O166" s="69">
        <f t="shared" si="42"/>
        <v>308.64148027600527</v>
      </c>
      <c r="P166" s="69">
        <f t="shared" si="43"/>
        <v>302.16804164159043</v>
      </c>
      <c r="Q166" s="69">
        <f t="shared" si="44"/>
        <v>307.56684459306632</v>
      </c>
      <c r="R166" s="69">
        <f t="shared" si="45"/>
        <v>272.70291395181755</v>
      </c>
      <c r="S166" s="69">
        <f t="shared" si="46"/>
        <v>270.53911931154812</v>
      </c>
      <c r="T166" s="68">
        <f t="shared" si="47"/>
        <v>229.32173242159388</v>
      </c>
      <c r="U166" s="68">
        <f t="shared" si="48"/>
        <v>39.496374968873617</v>
      </c>
      <c r="V166" s="69">
        <f t="shared" si="49"/>
        <v>292.32367995480553</v>
      </c>
      <c r="W166" s="69">
        <f t="shared" si="50"/>
        <v>17.059177433250863</v>
      </c>
    </row>
    <row r="167" spans="1:23" x14ac:dyDescent="0.3">
      <c r="A167" s="59" t="s">
        <v>85</v>
      </c>
      <c r="B167" s="7" t="s">
        <v>30</v>
      </c>
      <c r="C167" s="16">
        <v>1</v>
      </c>
      <c r="D167" s="16">
        <v>3</v>
      </c>
      <c r="E167" s="16"/>
      <c r="F167" s="16">
        <v>413</v>
      </c>
      <c r="G167" s="16" t="s">
        <v>86</v>
      </c>
      <c r="H167" s="21">
        <v>40.1</v>
      </c>
      <c r="I167" s="16">
        <v>16.3</v>
      </c>
      <c r="J167" s="52">
        <v>0.59839607350000001</v>
      </c>
      <c r="K167" s="70">
        <f t="shared" si="39"/>
        <v>661.05114760517984</v>
      </c>
      <c r="L167" s="70">
        <f t="shared" si="40"/>
        <v>639.35426325900016</v>
      </c>
      <c r="M167" s="70">
        <f t="shared" si="41"/>
        <v>539.28656116775539</v>
      </c>
      <c r="N167" s="68">
        <f t="shared" si="34"/>
        <v>397.61253360175448</v>
      </c>
      <c r="O167" s="69">
        <f t="shared" si="42"/>
        <v>876.75225727342308</v>
      </c>
      <c r="P167" s="69">
        <f t="shared" si="43"/>
        <v>837.12244607778234</v>
      </c>
      <c r="Q167" s="69">
        <f t="shared" si="44"/>
        <v>972.39111203948471</v>
      </c>
      <c r="R167" s="69">
        <f t="shared" si="45"/>
        <v>968.13420171092071</v>
      </c>
      <c r="S167" s="69">
        <f t="shared" si="46"/>
        <v>955.00725156010026</v>
      </c>
      <c r="T167" s="68">
        <f t="shared" si="47"/>
        <v>559.3261264084224</v>
      </c>
      <c r="U167" s="68">
        <f t="shared" si="48"/>
        <v>104.04969113208793</v>
      </c>
      <c r="V167" s="69">
        <f t="shared" si="49"/>
        <v>921.88145373234215</v>
      </c>
      <c r="W167" s="69">
        <f t="shared" si="50"/>
        <v>54.787944862374871</v>
      </c>
    </row>
    <row r="168" spans="1:23" x14ac:dyDescent="0.3">
      <c r="A168" s="59" t="s">
        <v>85</v>
      </c>
      <c r="B168" s="7" t="s">
        <v>30</v>
      </c>
      <c r="C168" s="16">
        <v>2</v>
      </c>
      <c r="D168" s="16">
        <v>2</v>
      </c>
      <c r="E168" s="16">
        <v>1</v>
      </c>
      <c r="F168" s="16">
        <v>442</v>
      </c>
      <c r="G168" s="16" t="s">
        <v>86</v>
      </c>
      <c r="H168" s="21">
        <v>15.6</v>
      </c>
      <c r="I168" s="16">
        <v>11.6</v>
      </c>
      <c r="J168" s="52">
        <v>0.48454364475</v>
      </c>
      <c r="K168" s="70">
        <f t="shared" si="39"/>
        <v>56.99440543933931</v>
      </c>
      <c r="L168" s="70">
        <f t="shared" si="40"/>
        <v>68.860853567999996</v>
      </c>
      <c r="M168" s="70">
        <f t="shared" si="41"/>
        <v>47.15859715362209</v>
      </c>
      <c r="N168" s="68">
        <f t="shared" si="34"/>
        <v>98.482828709726491</v>
      </c>
      <c r="O168" s="69">
        <f t="shared" si="42"/>
        <v>76.463098976571274</v>
      </c>
      <c r="P168" s="69">
        <f t="shared" si="43"/>
        <v>77.408774117320149</v>
      </c>
      <c r="Q168" s="69">
        <f t="shared" si="44"/>
        <v>94.136458381900852</v>
      </c>
      <c r="R168" s="69">
        <f t="shared" si="45"/>
        <v>88.041669073704099</v>
      </c>
      <c r="S168" s="69">
        <f t="shared" si="46"/>
        <v>87.586030997682187</v>
      </c>
      <c r="T168" s="68">
        <f t="shared" si="47"/>
        <v>67.874171217671972</v>
      </c>
      <c r="U168" s="68">
        <f t="shared" si="48"/>
        <v>19.270234610149853</v>
      </c>
      <c r="V168" s="69">
        <f t="shared" si="49"/>
        <v>84.727206309435715</v>
      </c>
      <c r="W168" s="69">
        <f t="shared" si="50"/>
        <v>6.7756547482399947</v>
      </c>
    </row>
    <row r="169" spans="1:23" x14ac:dyDescent="0.3">
      <c r="A169" s="59" t="s">
        <v>85</v>
      </c>
      <c r="B169" s="7" t="s">
        <v>30</v>
      </c>
      <c r="C169" s="16">
        <v>2</v>
      </c>
      <c r="D169" s="16">
        <v>1</v>
      </c>
      <c r="E169" s="16"/>
      <c r="F169" s="16">
        <v>313</v>
      </c>
      <c r="G169" s="16" t="s">
        <v>86</v>
      </c>
      <c r="H169" s="21">
        <v>14.4</v>
      </c>
      <c r="I169" s="16">
        <v>13.3</v>
      </c>
      <c r="J169" s="52">
        <v>0.54965722949999996</v>
      </c>
      <c r="K169" s="70">
        <f t="shared" si="39"/>
        <v>49.665555376640043</v>
      </c>
      <c r="L169" s="70">
        <f t="shared" si="40"/>
        <v>67.273161984000012</v>
      </c>
      <c r="M169" s="70">
        <f t="shared" si="41"/>
        <v>42.529413721648488</v>
      </c>
      <c r="N169" s="68">
        <f t="shared" si="34"/>
        <v>112.03777379423182</v>
      </c>
      <c r="O169" s="69">
        <f t="shared" si="42"/>
        <v>84.738423023937443</v>
      </c>
      <c r="P169" s="69">
        <f t="shared" si="43"/>
        <v>85.575134069886104</v>
      </c>
      <c r="Q169" s="69">
        <f t="shared" si="44"/>
        <v>95.406758699280559</v>
      </c>
      <c r="R169" s="69">
        <f t="shared" si="45"/>
        <v>84.688602589696799</v>
      </c>
      <c r="S169" s="69">
        <f t="shared" si="46"/>
        <v>83.620490131864798</v>
      </c>
      <c r="T169" s="68">
        <f t="shared" si="47"/>
        <v>67.876476219130097</v>
      </c>
      <c r="U169" s="68">
        <f t="shared" si="48"/>
        <v>27.040226546599374</v>
      </c>
      <c r="V169" s="69">
        <f t="shared" si="49"/>
        <v>86.805881702933135</v>
      </c>
      <c r="W169" s="69">
        <f t="shared" si="50"/>
        <v>4.3449695174139897</v>
      </c>
    </row>
    <row r="170" spans="1:23" x14ac:dyDescent="0.3">
      <c r="A170" s="59" t="s">
        <v>87</v>
      </c>
      <c r="B170" s="7" t="s">
        <v>30</v>
      </c>
      <c r="C170" s="22">
        <v>1</v>
      </c>
      <c r="D170" s="22">
        <v>3</v>
      </c>
      <c r="E170" s="16">
        <v>1</v>
      </c>
      <c r="F170" s="16">
        <v>1728</v>
      </c>
      <c r="G170" s="16" t="s">
        <v>84</v>
      </c>
      <c r="H170" s="21">
        <v>16.100000000000001</v>
      </c>
      <c r="I170" s="16">
        <v>11.5</v>
      </c>
      <c r="J170" s="52">
        <v>0.27271490774999996</v>
      </c>
      <c r="K170" s="70">
        <f t="shared" si="39"/>
        <v>61.336151073302617</v>
      </c>
      <c r="L170" s="70">
        <f t="shared" si="40"/>
        <v>72.713459595000018</v>
      </c>
      <c r="M170" s="70">
        <f t="shared" si="41"/>
        <v>50.524312482526028</v>
      </c>
      <c r="N170" s="68">
        <f t="shared" si="34"/>
        <v>100.14469053055431</v>
      </c>
      <c r="O170" s="69">
        <f t="shared" si="42"/>
        <v>45.443343721269557</v>
      </c>
      <c r="P170" s="69">
        <f t="shared" si="43"/>
        <v>46.583501783667181</v>
      </c>
      <c r="Q170" s="69">
        <f t="shared" si="44"/>
        <v>54.018687505528568</v>
      </c>
      <c r="R170" s="69">
        <f t="shared" si="45"/>
        <v>49.07825686020027</v>
      </c>
      <c r="S170" s="69">
        <f t="shared" si="46"/>
        <v>50.459309722185289</v>
      </c>
      <c r="T170" s="68">
        <f t="shared" si="47"/>
        <v>71.179653420345744</v>
      </c>
      <c r="U170" s="68">
        <f t="shared" si="48"/>
        <v>18.472030098847956</v>
      </c>
      <c r="V170" s="69">
        <f t="shared" si="49"/>
        <v>49.116619918570173</v>
      </c>
      <c r="W170" s="69">
        <f t="shared" si="50"/>
        <v>3.0247049365886021</v>
      </c>
    </row>
    <row r="171" spans="1:23" x14ac:dyDescent="0.3">
      <c r="A171" s="59" t="s">
        <v>87</v>
      </c>
      <c r="B171" s="7" t="s">
        <v>30</v>
      </c>
      <c r="C171" s="22">
        <v>1</v>
      </c>
      <c r="D171" s="22">
        <v>3</v>
      </c>
      <c r="E171" s="16"/>
      <c r="F171" s="16">
        <v>4996</v>
      </c>
      <c r="G171" s="16" t="s">
        <v>84</v>
      </c>
      <c r="H171" s="21">
        <v>17.5</v>
      </c>
      <c r="I171" s="16">
        <v>14</v>
      </c>
      <c r="J171" s="52">
        <v>0.38126894099999997</v>
      </c>
      <c r="K171" s="70">
        <f t="shared" si="39"/>
        <v>81.730499071401255</v>
      </c>
      <c r="L171" s="70">
        <f t="shared" si="40"/>
        <v>104.58498750000001</v>
      </c>
      <c r="M171" s="70">
        <f t="shared" si="41"/>
        <v>69.518897214324355</v>
      </c>
      <c r="N171" s="68">
        <f t="shared" si="34"/>
        <v>145.29184996165822</v>
      </c>
      <c r="O171" s="69">
        <f t="shared" si="42"/>
        <v>91.379203675646238</v>
      </c>
      <c r="P171" s="69">
        <f t="shared" si="43"/>
        <v>92.114536664407069</v>
      </c>
      <c r="Q171" s="69">
        <f t="shared" si="44"/>
        <v>98.792906832332378</v>
      </c>
      <c r="R171" s="69">
        <f t="shared" si="45"/>
        <v>87.057517223944672</v>
      </c>
      <c r="S171" s="69">
        <f t="shared" si="46"/>
        <v>87.838866325717177</v>
      </c>
      <c r="T171" s="68">
        <f t="shared" si="47"/>
        <v>100.28155843684596</v>
      </c>
      <c r="U171" s="68">
        <f t="shared" si="48"/>
        <v>28.874421959244813</v>
      </c>
      <c r="V171" s="69">
        <f t="shared" si="49"/>
        <v>91.43660614440951</v>
      </c>
      <c r="W171" s="69">
        <f t="shared" si="50"/>
        <v>4.1640892454615086</v>
      </c>
    </row>
    <row r="172" spans="1:23" x14ac:dyDescent="0.3">
      <c r="A172" s="59" t="s">
        <v>87</v>
      </c>
      <c r="B172" s="7" t="s">
        <v>38</v>
      </c>
      <c r="C172" s="22">
        <v>1</v>
      </c>
      <c r="D172" s="22">
        <v>2</v>
      </c>
      <c r="E172" s="16"/>
      <c r="F172" s="16">
        <v>4999</v>
      </c>
      <c r="G172" s="16" t="s">
        <v>84</v>
      </c>
      <c r="H172" s="21">
        <v>51</v>
      </c>
      <c r="I172" s="16">
        <v>21.4</v>
      </c>
      <c r="J172" s="52">
        <v>0.38791938300000001</v>
      </c>
      <c r="K172" s="70">
        <f t="shared" si="39"/>
        <v>1334.9509803374719</v>
      </c>
      <c r="L172" s="70">
        <f t="shared" si="40"/>
        <v>1357.7485302</v>
      </c>
      <c r="M172" s="70">
        <f t="shared" si="41"/>
        <v>1126.1761969808142</v>
      </c>
      <c r="N172" s="68">
        <f t="shared" si="34"/>
        <v>748.48047290197155</v>
      </c>
      <c r="O172" s="69">
        <f t="shared" si="42"/>
        <v>1207.0003993208156</v>
      </c>
      <c r="P172" s="69">
        <f t="shared" si="43"/>
        <v>1143.6353619833046</v>
      </c>
      <c r="Q172" s="69">
        <f t="shared" si="44"/>
        <v>1110.7952909480296</v>
      </c>
      <c r="R172" s="69">
        <f t="shared" si="45"/>
        <v>1022.0397651551697</v>
      </c>
      <c r="S172" s="69">
        <f t="shared" si="46"/>
        <v>1034.3907689251882</v>
      </c>
      <c r="T172" s="68">
        <f t="shared" si="47"/>
        <v>1141.8390451050643</v>
      </c>
      <c r="U172" s="68">
        <f t="shared" si="48"/>
        <v>244.37952881746605</v>
      </c>
      <c r="V172" s="69">
        <f t="shared" si="49"/>
        <v>1103.5723172665016</v>
      </c>
      <c r="W172" s="69">
        <f t="shared" si="50"/>
        <v>68.975692447277467</v>
      </c>
    </row>
    <row r="173" spans="1:23" x14ac:dyDescent="0.3">
      <c r="A173" s="59" t="s">
        <v>87</v>
      </c>
      <c r="B173" s="7" t="s">
        <v>38</v>
      </c>
      <c r="C173" s="22">
        <v>1</v>
      </c>
      <c r="D173" s="22">
        <v>1</v>
      </c>
      <c r="E173" s="16"/>
      <c r="F173" s="16">
        <v>460</v>
      </c>
      <c r="G173" s="16" t="s">
        <v>84</v>
      </c>
      <c r="H173" s="21">
        <v>30.2</v>
      </c>
      <c r="I173" s="16">
        <v>13.6</v>
      </c>
      <c r="J173" s="52">
        <v>0.48020866600000001</v>
      </c>
      <c r="K173" s="70">
        <f t="shared" si="39"/>
        <v>306.23212004278639</v>
      </c>
      <c r="L173" s="70">
        <f t="shared" si="40"/>
        <v>302.564527392</v>
      </c>
      <c r="M173" s="70">
        <f t="shared" si="41"/>
        <v>246.95827477668973</v>
      </c>
      <c r="N173" s="68">
        <f t="shared" si="34"/>
        <v>232.40453237614614</v>
      </c>
      <c r="O173" s="69">
        <f t="shared" si="42"/>
        <v>332.96194160418366</v>
      </c>
      <c r="P173" s="69">
        <f t="shared" si="43"/>
        <v>325.38555173088366</v>
      </c>
      <c r="Q173" s="69">
        <f t="shared" si="44"/>
        <v>396.61002019734815</v>
      </c>
      <c r="R173" s="69">
        <f t="shared" si="45"/>
        <v>394.02829269419271</v>
      </c>
      <c r="S173" s="69">
        <f t="shared" si="46"/>
        <v>393.17599562083348</v>
      </c>
      <c r="T173" s="68">
        <f t="shared" si="47"/>
        <v>272.03986364690553</v>
      </c>
      <c r="U173" s="68">
        <f t="shared" si="48"/>
        <v>32.790665895153026</v>
      </c>
      <c r="V173" s="69">
        <f t="shared" si="49"/>
        <v>368.43236036948832</v>
      </c>
      <c r="W173" s="69">
        <f t="shared" si="50"/>
        <v>32.16382468473477</v>
      </c>
    </row>
    <row r="174" spans="1:23" x14ac:dyDescent="0.3">
      <c r="A174" s="59" t="s">
        <v>87</v>
      </c>
      <c r="B174" s="7" t="s">
        <v>38</v>
      </c>
      <c r="C174" s="22">
        <v>1</v>
      </c>
      <c r="D174" s="22">
        <v>1</v>
      </c>
      <c r="E174" s="16"/>
      <c r="F174" s="16">
        <v>203</v>
      </c>
      <c r="G174" s="16" t="s">
        <v>84</v>
      </c>
      <c r="H174" s="21">
        <v>21.4</v>
      </c>
      <c r="I174" s="16">
        <v>11.5</v>
      </c>
      <c r="J174" s="52">
        <v>0.33314518000000004</v>
      </c>
      <c r="K174" s="70">
        <f t="shared" si="39"/>
        <v>122.93788869181564</v>
      </c>
      <c r="L174" s="70">
        <f t="shared" si="40"/>
        <v>128.46671021999998</v>
      </c>
      <c r="M174" s="70">
        <f t="shared" si="41"/>
        <v>98.789648471657216</v>
      </c>
      <c r="N174" s="68">
        <f t="shared" si="34"/>
        <v>130.86608455565636</v>
      </c>
      <c r="O174" s="69">
        <f t="shared" si="42"/>
        <v>98.077803069895467</v>
      </c>
      <c r="P174" s="69">
        <f t="shared" si="43"/>
        <v>98.699322456924676</v>
      </c>
      <c r="Q174" s="69">
        <f t="shared" si="44"/>
        <v>122.16093411704669</v>
      </c>
      <c r="R174" s="69">
        <f t="shared" si="45"/>
        <v>118.15857726826339</v>
      </c>
      <c r="S174" s="69">
        <f t="shared" si="46"/>
        <v>120.23299489375825</v>
      </c>
      <c r="T174" s="68">
        <f t="shared" si="47"/>
        <v>120.26508298478231</v>
      </c>
      <c r="U174" s="68">
        <f t="shared" si="48"/>
        <v>12.727785564329361</v>
      </c>
      <c r="V174" s="69">
        <f t="shared" si="49"/>
        <v>111.46592636117771</v>
      </c>
      <c r="W174" s="69">
        <f t="shared" si="50"/>
        <v>10.754201767010317</v>
      </c>
    </row>
    <row r="175" spans="1:23" x14ac:dyDescent="0.3">
      <c r="A175" s="59" t="s">
        <v>88</v>
      </c>
      <c r="B175" s="7" t="s">
        <v>30</v>
      </c>
      <c r="C175" s="16">
        <v>1</v>
      </c>
      <c r="D175" s="16">
        <v>2</v>
      </c>
      <c r="E175" s="16">
        <v>2</v>
      </c>
      <c r="F175" s="16">
        <v>4972</v>
      </c>
      <c r="G175" s="16" t="s">
        <v>21</v>
      </c>
      <c r="H175" s="31">
        <f>SQRT(14.9^2+7.4^2)</f>
        <v>16.636405861844079</v>
      </c>
      <c r="I175" s="18">
        <v>9.6999999999999993</v>
      </c>
      <c r="J175" s="52">
        <v>0.92542914850000002</v>
      </c>
      <c r="K175" s="70">
        <f t="shared" si="39"/>
        <v>61.827131955242663</v>
      </c>
      <c r="L175" s="70">
        <f t="shared" si="40"/>
        <v>65.487130917000016</v>
      </c>
      <c r="M175" s="70">
        <f t="shared" si="41"/>
        <v>49.083764277441617</v>
      </c>
      <c r="N175" s="68">
        <f t="shared" si="34"/>
        <v>80.098178248135198</v>
      </c>
      <c r="O175" s="69">
        <f t="shared" si="42"/>
        <v>138.88192591909601</v>
      </c>
      <c r="P175" s="69">
        <f t="shared" si="43"/>
        <v>138.60004541137113</v>
      </c>
      <c r="Q175" s="69">
        <f t="shared" si="44"/>
        <v>203.67383890198499</v>
      </c>
      <c r="R175" s="69">
        <f t="shared" si="45"/>
        <v>213.52022465334446</v>
      </c>
      <c r="S175" s="69">
        <f t="shared" si="46"/>
        <v>204.76044424320864</v>
      </c>
      <c r="T175" s="68">
        <f t="shared" si="47"/>
        <v>64.124051349454874</v>
      </c>
      <c r="U175" s="68">
        <f t="shared" si="48"/>
        <v>11.051207965587734</v>
      </c>
      <c r="V175" s="69">
        <f t="shared" si="49"/>
        <v>179.88729582580103</v>
      </c>
      <c r="W175" s="69">
        <f t="shared" si="50"/>
        <v>33.76899303561693</v>
      </c>
    </row>
    <row r="176" spans="1:23" x14ac:dyDescent="0.3">
      <c r="A176" s="59" t="s">
        <v>88</v>
      </c>
      <c r="B176" s="7" t="s">
        <v>30</v>
      </c>
      <c r="C176" s="16">
        <v>2</v>
      </c>
      <c r="D176" s="16">
        <v>1</v>
      </c>
      <c r="E176" s="16"/>
      <c r="F176" s="16">
        <v>424</v>
      </c>
      <c r="G176" s="16" t="s">
        <v>21</v>
      </c>
      <c r="H176" s="21">
        <v>17.600000000000001</v>
      </c>
      <c r="I176" s="16">
        <v>12.7</v>
      </c>
      <c r="J176" s="52">
        <v>0.90652633824999995</v>
      </c>
      <c r="K176" s="70">
        <f t="shared" si="39"/>
        <v>79.524667505994231</v>
      </c>
      <c r="L176" s="70">
        <f t="shared" si="40"/>
        <v>95.960891136000015</v>
      </c>
      <c r="M176" s="70">
        <f t="shared" si="41"/>
        <v>66.304010994509795</v>
      </c>
      <c r="N176" s="68">
        <f t="shared" si="34"/>
        <v>126.28983670346861</v>
      </c>
      <c r="O176" s="69">
        <f t="shared" si="42"/>
        <v>199.35231856888967</v>
      </c>
      <c r="P176" s="69">
        <f t="shared" si="43"/>
        <v>197.22933928072297</v>
      </c>
      <c r="Q176" s="69">
        <f t="shared" si="44"/>
        <v>245.84954835968313</v>
      </c>
      <c r="R176" s="69">
        <f t="shared" si="45"/>
        <v>237.16935561720572</v>
      </c>
      <c r="S176" s="69">
        <f t="shared" si="46"/>
        <v>227.75625544259657</v>
      </c>
      <c r="T176" s="68">
        <f t="shared" si="47"/>
        <v>92.019851584993162</v>
      </c>
      <c r="U176" s="68">
        <f t="shared" si="48"/>
        <v>22.401996312864309</v>
      </c>
      <c r="V176" s="69">
        <f t="shared" si="49"/>
        <v>221.47136345381961</v>
      </c>
      <c r="W176" s="69">
        <f t="shared" si="50"/>
        <v>19.784593031990038</v>
      </c>
    </row>
    <row r="177" spans="1:23" x14ac:dyDescent="0.3">
      <c r="A177" s="59" t="s">
        <v>88</v>
      </c>
      <c r="B177" s="7" t="s">
        <v>30</v>
      </c>
      <c r="C177" s="16">
        <v>2</v>
      </c>
      <c r="D177" s="16">
        <v>1</v>
      </c>
      <c r="E177" s="16">
        <v>1</v>
      </c>
      <c r="F177" s="16">
        <v>79</v>
      </c>
      <c r="G177" s="16" t="s">
        <v>21</v>
      </c>
      <c r="H177" s="30">
        <f>SQRT(15.1^2+16.6^2+15.4^2)</f>
        <v>27.21635537686852</v>
      </c>
      <c r="I177" s="16">
        <v>12.7</v>
      </c>
      <c r="J177" s="52">
        <v>0.89703169549999995</v>
      </c>
      <c r="K177" s="70">
        <f t="shared" si="39"/>
        <v>230.71265717335584</v>
      </c>
      <c r="L177" s="70">
        <f t="shared" si="40"/>
        <v>229.47156150299998</v>
      </c>
      <c r="M177" s="70">
        <f t="shared" si="41"/>
        <v>185.19509455977473</v>
      </c>
      <c r="N177" s="68">
        <f t="shared" si="34"/>
        <v>190.26869668458679</v>
      </c>
      <c r="O177" s="69">
        <f t="shared" si="42"/>
        <v>471.71887226333109</v>
      </c>
      <c r="P177" s="69">
        <f t="shared" si="43"/>
        <v>457.14712548225572</v>
      </c>
      <c r="Q177" s="69">
        <f t="shared" si="44"/>
        <v>609.82354056752195</v>
      </c>
      <c r="R177" s="69">
        <f t="shared" si="45"/>
        <v>634.27082997922241</v>
      </c>
      <c r="S177" s="69">
        <f t="shared" si="46"/>
        <v>610.47373329173979</v>
      </c>
      <c r="T177" s="68">
        <f t="shared" si="47"/>
        <v>208.91200248017932</v>
      </c>
      <c r="U177" s="68">
        <f t="shared" si="48"/>
        <v>21.26045968786239</v>
      </c>
      <c r="V177" s="69">
        <f t="shared" si="49"/>
        <v>556.68682031681419</v>
      </c>
      <c r="W177" s="69">
        <f t="shared" si="50"/>
        <v>75.97831880983847</v>
      </c>
    </row>
    <row r="178" spans="1:23" x14ac:dyDescent="0.3">
      <c r="A178" s="59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87</v>
      </c>
      <c r="G178" s="16" t="s">
        <v>21</v>
      </c>
      <c r="H178" s="30">
        <f>SQRT(9.8^2+10.5^2)</f>
        <v>14.362799170078235</v>
      </c>
      <c r="I178" s="16">
        <v>12.2</v>
      </c>
      <c r="J178" s="52">
        <v>0.95122003050000004</v>
      </c>
      <c r="K178" s="70">
        <f t="shared" si="39"/>
        <v>47.58047947117366</v>
      </c>
      <c r="L178" s="70">
        <f t="shared" si="40"/>
        <v>61.390790034000013</v>
      </c>
      <c r="M178" s="70">
        <f t="shared" si="41"/>
        <v>40.055475628575429</v>
      </c>
      <c r="N178" s="68">
        <f t="shared" si="34"/>
        <v>98.248221512566232</v>
      </c>
      <c r="O178" s="69">
        <f t="shared" si="42"/>
        <v>133.82301227903645</v>
      </c>
      <c r="P178" s="69">
        <f t="shared" si="43"/>
        <v>133.67038590779885</v>
      </c>
      <c r="Q178" s="69">
        <f t="shared" si="44"/>
        <v>166.33787233482079</v>
      </c>
      <c r="R178" s="69">
        <f t="shared" si="45"/>
        <v>157.50508971242982</v>
      </c>
      <c r="S178" s="69">
        <f t="shared" si="46"/>
        <v>150.72228554278081</v>
      </c>
      <c r="T178" s="68">
        <f t="shared" si="47"/>
        <v>61.818741661578834</v>
      </c>
      <c r="U178" s="68">
        <f t="shared" si="48"/>
        <v>22.381119294145257</v>
      </c>
      <c r="V178" s="69">
        <f t="shared" si="49"/>
        <v>148.41172915537334</v>
      </c>
      <c r="W178" s="69">
        <f t="shared" si="50"/>
        <v>12.957718527355016</v>
      </c>
    </row>
    <row r="179" spans="1:23" x14ac:dyDescent="0.3">
      <c r="A179" s="59" t="s">
        <v>88</v>
      </c>
      <c r="B179" s="7" t="s">
        <v>30</v>
      </c>
      <c r="C179" s="16">
        <v>2</v>
      </c>
      <c r="D179" s="16">
        <v>1</v>
      </c>
      <c r="E179" s="16">
        <v>2</v>
      </c>
      <c r="F179" s="16">
        <v>109</v>
      </c>
      <c r="G179" s="16" t="s">
        <v>21</v>
      </c>
      <c r="H179" s="21">
        <v>11.9</v>
      </c>
      <c r="I179" s="16">
        <v>11.7</v>
      </c>
      <c r="J179" s="52">
        <v>0.97034195349999997</v>
      </c>
      <c r="K179" s="70">
        <f t="shared" si="39"/>
        <v>29.520746608002675</v>
      </c>
      <c r="L179" s="70">
        <f t="shared" si="40"/>
        <v>40.415224941000005</v>
      </c>
      <c r="M179" s="70">
        <f t="shared" si="41"/>
        <v>25.051666524537065</v>
      </c>
      <c r="N179" s="68">
        <f t="shared" si="34"/>
        <v>77.335483570311951</v>
      </c>
      <c r="O179" s="69">
        <f t="shared" si="42"/>
        <v>89.870343422699335</v>
      </c>
      <c r="P179" s="69">
        <f t="shared" si="43"/>
        <v>90.62974277157177</v>
      </c>
      <c r="Q179" s="69">
        <f t="shared" si="44"/>
        <v>112.65513744810222</v>
      </c>
      <c r="R179" s="69">
        <f t="shared" si="45"/>
        <v>104.84930255972675</v>
      </c>
      <c r="S179" s="69">
        <f t="shared" si="46"/>
        <v>100.14849617997407</v>
      </c>
      <c r="T179" s="68">
        <f t="shared" si="47"/>
        <v>43.08078041096293</v>
      </c>
      <c r="U179" s="68">
        <f t="shared" si="48"/>
        <v>20.551236816586623</v>
      </c>
      <c r="V179" s="69">
        <f t="shared" si="49"/>
        <v>99.630604476414831</v>
      </c>
      <c r="W179" s="69">
        <f t="shared" si="50"/>
        <v>8.6419868999939684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D7B8-3F83-4A66-A7FE-923AEA6A23FF}">
  <dimension ref="A1:L193"/>
  <sheetViews>
    <sheetView topLeftCell="A4" workbookViewId="0">
      <selection sqref="A1:L193"/>
    </sheetView>
  </sheetViews>
  <sheetFormatPr defaultRowHeight="14.4" x14ac:dyDescent="0.3"/>
  <cols>
    <col min="1" max="1" width="42.44140625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30.88671875" bestFit="1" customWidth="1"/>
    <col min="9" max="9" width="6.44140625" bestFit="1" customWidth="1"/>
    <col min="10" max="10" width="20" bestFit="1" customWidth="1"/>
    <col min="11" max="11" width="16.5546875" bestFit="1" customWidth="1"/>
    <col min="12" max="12" width="13.6640625" bestFit="1" customWidth="1"/>
  </cols>
  <sheetData>
    <row r="1" spans="1:12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172</v>
      </c>
      <c r="L1" s="15" t="s">
        <v>173</v>
      </c>
    </row>
    <row r="2" spans="1:12" x14ac:dyDescent="0.3">
      <c r="A2" s="112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22">
        <v>0.55428571428571427</v>
      </c>
      <c r="K2" s="113">
        <f>AVERAGE(J2:J7)</f>
        <v>0.52844480273415206</v>
      </c>
      <c r="L2" s="113">
        <f>_xlfn.STDEV.P(J2:J7)</f>
        <v>2.8225362982571306E-2</v>
      </c>
    </row>
    <row r="3" spans="1:12" x14ac:dyDescent="0.3">
      <c r="A3" s="112"/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22">
        <v>0.56082474226804124</v>
      </c>
      <c r="K3" s="113"/>
      <c r="L3" s="113"/>
    </row>
    <row r="4" spans="1:12" x14ac:dyDescent="0.3">
      <c r="A4" s="112"/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21">
        <v>0.55384615384615388</v>
      </c>
      <c r="K4" s="113"/>
      <c r="L4" s="113"/>
    </row>
    <row r="5" spans="1:12" x14ac:dyDescent="0.3">
      <c r="A5" s="112"/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3">
        <v>0.49723756906077349</v>
      </c>
      <c r="K5" s="113"/>
      <c r="L5" s="113"/>
    </row>
    <row r="6" spans="1:12" x14ac:dyDescent="0.3">
      <c r="A6" s="112"/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21">
        <v>0.49627791563275436</v>
      </c>
      <c r="K6" s="113"/>
      <c r="L6" s="113"/>
    </row>
    <row r="7" spans="1:12" x14ac:dyDescent="0.3">
      <c r="A7" s="112"/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22">
        <v>0.50819672131147542</v>
      </c>
      <c r="K7" s="113"/>
      <c r="L7" s="113"/>
    </row>
    <row r="8" spans="1:12" x14ac:dyDescent="0.3">
      <c r="A8" s="112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21">
        <v>0.65610859728506787</v>
      </c>
      <c r="K8" s="113">
        <f t="shared" ref="K8" si="0">AVERAGE(J8:J13)</f>
        <v>0.69439366529861279</v>
      </c>
      <c r="L8" s="113">
        <f t="shared" ref="L8" si="1">_xlfn.STDEV.P(J8:J13)</f>
        <v>2.4261319587921281E-2</v>
      </c>
    </row>
    <row r="9" spans="1:12" x14ac:dyDescent="0.3">
      <c r="A9" s="112"/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21">
        <v>0.71647509578544066</v>
      </c>
      <c r="K9" s="113"/>
      <c r="L9" s="113"/>
    </row>
    <row r="10" spans="1:12" x14ac:dyDescent="0.3">
      <c r="A10" s="112"/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3">
        <v>0.72508591065292094</v>
      </c>
      <c r="K10" s="113"/>
      <c r="L10" s="113"/>
    </row>
    <row r="11" spans="1:12" x14ac:dyDescent="0.3">
      <c r="A11" s="112"/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4">
        <v>0.69483568075117375</v>
      </c>
      <c r="K11" s="113"/>
      <c r="L11" s="113"/>
    </row>
    <row r="12" spans="1:12" x14ac:dyDescent="0.3">
      <c r="A12" s="112"/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21">
        <v>0.67073170731707321</v>
      </c>
      <c r="K12" s="113"/>
      <c r="L12" s="113"/>
    </row>
    <row r="13" spans="1:12" x14ac:dyDescent="0.3">
      <c r="A13" s="112"/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21">
        <v>0.703125</v>
      </c>
      <c r="K13" s="113"/>
      <c r="L13" s="113"/>
    </row>
    <row r="14" spans="1:12" x14ac:dyDescent="0.3">
      <c r="A14" s="112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21">
        <v>0.39500000000000002</v>
      </c>
      <c r="K14" s="113">
        <f t="shared" ref="K14" si="2">AVERAGE(J14:J19)</f>
        <v>0.43035600922097733</v>
      </c>
      <c r="L14" s="113">
        <f t="shared" ref="L14" si="3">_xlfn.STDEV.P(J14:J19)</f>
        <v>2.3862836655392638E-2</v>
      </c>
    </row>
    <row r="15" spans="1:12" x14ac:dyDescent="0.3">
      <c r="A15" s="112"/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21">
        <v>0.46368715083798884</v>
      </c>
      <c r="K15" s="113"/>
      <c r="L15" s="113"/>
    </row>
    <row r="16" spans="1:12" x14ac:dyDescent="0.3">
      <c r="A16" s="112"/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21">
        <v>0.42857142857142855</v>
      </c>
      <c r="K16" s="113"/>
      <c r="L16" s="113"/>
    </row>
    <row r="17" spans="1:12" x14ac:dyDescent="0.3">
      <c r="A17" s="112"/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21">
        <v>0.40625</v>
      </c>
      <c r="K17" s="113"/>
      <c r="L17" s="113"/>
    </row>
    <row r="18" spans="1:12" x14ac:dyDescent="0.3">
      <c r="A18" s="112"/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21">
        <v>0.43792325056433407</v>
      </c>
      <c r="K18" s="113"/>
      <c r="L18" s="113"/>
    </row>
    <row r="19" spans="1:12" x14ac:dyDescent="0.3">
      <c r="A19" s="112"/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21">
        <v>0.45070422535211269</v>
      </c>
      <c r="K19" s="113"/>
      <c r="L19" s="113"/>
    </row>
    <row r="20" spans="1:12" x14ac:dyDescent="0.3">
      <c r="A20" s="112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21">
        <v>0.58227848101265822</v>
      </c>
      <c r="K20" s="113">
        <f t="shared" ref="K20" si="4">AVERAGE(J20:J25)</f>
        <v>0.5570350733798054</v>
      </c>
      <c r="L20" s="113">
        <f t="shared" ref="L20" si="5">_xlfn.STDEV.P(J20:J25)</f>
        <v>3.7320394537062998E-2</v>
      </c>
    </row>
    <row r="21" spans="1:12" x14ac:dyDescent="0.3">
      <c r="A21" s="112"/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21">
        <v>0.53846153846153844</v>
      </c>
      <c r="K21" s="113"/>
      <c r="L21" s="113"/>
    </row>
    <row r="22" spans="1:12" x14ac:dyDescent="0.3">
      <c r="A22" s="112"/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4">
        <v>0.49342105263157893</v>
      </c>
      <c r="K22" s="113"/>
      <c r="L22" s="113"/>
    </row>
    <row r="23" spans="1:12" x14ac:dyDescent="0.3">
      <c r="A23" s="112"/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21">
        <v>0.54658385093167705</v>
      </c>
      <c r="K23" s="113"/>
      <c r="L23" s="113"/>
    </row>
    <row r="24" spans="1:12" x14ac:dyDescent="0.3">
      <c r="A24" s="112"/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21">
        <v>0.61250000000000004</v>
      </c>
      <c r="K24" s="113"/>
      <c r="L24" s="113"/>
    </row>
    <row r="25" spans="1:12" x14ac:dyDescent="0.3">
      <c r="A25" s="112"/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21">
        <v>0.56896551724137934</v>
      </c>
      <c r="K25" s="113"/>
      <c r="L25" s="113"/>
    </row>
    <row r="26" spans="1:12" x14ac:dyDescent="0.3">
      <c r="A26" s="112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21">
        <v>0.34926470588235292</v>
      </c>
      <c r="K26" s="113">
        <f t="shared" ref="K26" si="6">AVERAGE(J26:J31)</f>
        <v>0.34483425830990333</v>
      </c>
      <c r="L26" s="113">
        <f t="shared" ref="L26" si="7">_xlfn.STDEV.P(J26:J31)</f>
        <v>6.5033873607234617E-3</v>
      </c>
    </row>
    <row r="27" spans="1:12" x14ac:dyDescent="0.3">
      <c r="A27" s="112"/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21">
        <v>0.33214285714285713</v>
      </c>
      <c r="K27" s="113"/>
      <c r="L27" s="113"/>
    </row>
    <row r="28" spans="1:12" x14ac:dyDescent="0.3">
      <c r="A28" s="112"/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21">
        <v>0.34365325077399383</v>
      </c>
      <c r="K28" s="113"/>
      <c r="L28" s="113"/>
    </row>
    <row r="29" spans="1:12" x14ac:dyDescent="0.3">
      <c r="A29" s="112"/>
      <c r="B29" s="5" t="s">
        <v>30</v>
      </c>
      <c r="C29" s="6">
        <v>2</v>
      </c>
      <c r="D29" s="6">
        <v>2</v>
      </c>
      <c r="E29" s="6">
        <v>1</v>
      </c>
      <c r="F29" s="6">
        <v>451</v>
      </c>
      <c r="G29" s="6" t="s">
        <v>21</v>
      </c>
      <c r="H29" s="6">
        <v>24.5</v>
      </c>
      <c r="I29" s="6">
        <v>11.9</v>
      </c>
      <c r="J29" s="21">
        <v>0.34666666666666668</v>
      </c>
      <c r="K29" s="113"/>
      <c r="L29" s="113"/>
    </row>
    <row r="30" spans="1:12" x14ac:dyDescent="0.3">
      <c r="A30" s="112"/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21">
        <v>0.35307517084282458</v>
      </c>
      <c r="K30" s="113"/>
      <c r="L30" s="113"/>
    </row>
    <row r="31" spans="1:12" x14ac:dyDescent="0.3">
      <c r="A31" s="112"/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21">
        <v>0.34420289855072461</v>
      </c>
      <c r="K31" s="113"/>
      <c r="L31" s="113"/>
    </row>
    <row r="32" spans="1:12" x14ac:dyDescent="0.3">
      <c r="A32" s="112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21">
        <v>0.5829596412556054</v>
      </c>
      <c r="K32" s="113">
        <f t="shared" ref="K32" si="8">AVERAGE(J32:J37)</f>
        <v>0.57105250185930634</v>
      </c>
      <c r="L32" s="113">
        <f t="shared" ref="L32" si="9">_xlfn.STDEV.P(J32:J37)</f>
        <v>2.321414773825467E-2</v>
      </c>
    </row>
    <row r="33" spans="1:12" x14ac:dyDescent="0.3">
      <c r="A33" s="112"/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21">
        <v>0.5892857142857143</v>
      </c>
      <c r="K33" s="113"/>
      <c r="L33" s="113"/>
    </row>
    <row r="34" spans="1:12" x14ac:dyDescent="0.3">
      <c r="A34" s="112"/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21">
        <v>0.5728952772073922</v>
      </c>
      <c r="K34" s="113"/>
      <c r="L34" s="113"/>
    </row>
    <row r="35" spans="1:12" x14ac:dyDescent="0.3">
      <c r="A35" s="112"/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21">
        <v>0.5625</v>
      </c>
      <c r="K35" s="113"/>
      <c r="L35" s="113"/>
    </row>
    <row r="36" spans="1:12" x14ac:dyDescent="0.3">
      <c r="A36" s="112"/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21">
        <v>0.59403669724770647</v>
      </c>
      <c r="K36" s="113"/>
      <c r="L36" s="113"/>
    </row>
    <row r="37" spans="1:12" x14ac:dyDescent="0.3">
      <c r="A37" s="112"/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21">
        <v>0.52463768115942033</v>
      </c>
      <c r="K37" s="113"/>
      <c r="L37" s="113"/>
    </row>
    <row r="38" spans="1:12" x14ac:dyDescent="0.3">
      <c r="A38" s="112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21">
        <v>0.68888888888888888</v>
      </c>
      <c r="K38" s="113">
        <f t="shared" ref="K38" si="10">AVERAGE(J38:J43)</f>
        <v>0.70261370573870574</v>
      </c>
      <c r="L38" s="113">
        <f t="shared" ref="L38" si="11">_xlfn.STDEV.P(J38:J43)</f>
        <v>1.7392489572556551E-2</v>
      </c>
    </row>
    <row r="39" spans="1:12" x14ac:dyDescent="0.3">
      <c r="A39" s="112"/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21">
        <v>0.73076923076923073</v>
      </c>
      <c r="K39" s="113"/>
      <c r="L39" s="113"/>
    </row>
    <row r="40" spans="1:12" x14ac:dyDescent="0.3">
      <c r="A40" s="112"/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21">
        <v>0.70329670329670335</v>
      </c>
      <c r="K40" s="113"/>
      <c r="L40" s="113"/>
    </row>
    <row r="41" spans="1:12" x14ac:dyDescent="0.3">
      <c r="A41" s="112"/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21">
        <v>0.6875</v>
      </c>
      <c r="K41" s="113"/>
      <c r="L41" s="113"/>
    </row>
    <row r="42" spans="1:12" x14ac:dyDescent="0.3">
      <c r="A42" s="112"/>
      <c r="B42" s="7"/>
      <c r="C42" s="16"/>
      <c r="D42" s="16"/>
      <c r="E42" s="16"/>
      <c r="F42" s="16"/>
      <c r="G42" s="16"/>
      <c r="H42" s="21"/>
      <c r="I42" s="16"/>
      <c r="J42" s="21"/>
      <c r="K42" s="113"/>
      <c r="L42" s="113"/>
    </row>
    <row r="43" spans="1:12" x14ac:dyDescent="0.3">
      <c r="A43" s="112"/>
      <c r="B43" s="7"/>
      <c r="C43" s="16"/>
      <c r="D43" s="16"/>
      <c r="E43" s="16"/>
      <c r="F43" s="16"/>
      <c r="G43" s="16"/>
      <c r="H43" s="21"/>
      <c r="I43" s="16"/>
      <c r="J43" s="21"/>
      <c r="K43" s="113"/>
      <c r="L43" s="113"/>
    </row>
    <row r="44" spans="1:12" x14ac:dyDescent="0.3">
      <c r="A44" s="112" t="s">
        <v>55</v>
      </c>
      <c r="B44" s="19" t="s">
        <v>24</v>
      </c>
      <c r="C44" s="22">
        <v>2</v>
      </c>
      <c r="D44" s="22">
        <v>1</v>
      </c>
      <c r="E44" s="22">
        <v>1</v>
      </c>
      <c r="F44" s="22">
        <v>119</v>
      </c>
      <c r="G44" s="22" t="s">
        <v>21</v>
      </c>
      <c r="H44" s="22">
        <v>12.3</v>
      </c>
      <c r="I44" s="22">
        <v>10.199999999999999</v>
      </c>
      <c r="J44" s="21">
        <v>0.72023809523809523</v>
      </c>
      <c r="K44" s="113">
        <f t="shared" ref="K44" si="12">AVERAGE(J44:J49)</f>
        <v>0.70211942979648478</v>
      </c>
      <c r="L44" s="113">
        <f t="shared" ref="L44" si="13">_xlfn.STDEV.P(J44:J49)</f>
        <v>1.9269489997799892E-2</v>
      </c>
    </row>
    <row r="45" spans="1:12" x14ac:dyDescent="0.3">
      <c r="A45" s="112"/>
      <c r="B45" s="19" t="s">
        <v>24</v>
      </c>
      <c r="C45" s="22">
        <v>2</v>
      </c>
      <c r="D45" s="22">
        <v>1</v>
      </c>
      <c r="E45" s="22">
        <v>1</v>
      </c>
      <c r="F45" s="22">
        <v>131</v>
      </c>
      <c r="G45" s="22" t="s">
        <v>21</v>
      </c>
      <c r="H45" s="22">
        <v>14.5</v>
      </c>
      <c r="I45" s="22">
        <v>11.2</v>
      </c>
      <c r="J45" s="21">
        <v>0.73195876288659789</v>
      </c>
      <c r="K45" s="113"/>
      <c r="L45" s="113"/>
    </row>
    <row r="46" spans="1:12" x14ac:dyDescent="0.3">
      <c r="A46" s="112"/>
      <c r="B46" s="19" t="s">
        <v>26</v>
      </c>
      <c r="C46" s="22">
        <v>2</v>
      </c>
      <c r="D46" s="22">
        <v>1</v>
      </c>
      <c r="E46" s="22">
        <v>1</v>
      </c>
      <c r="F46" s="22">
        <v>183</v>
      </c>
      <c r="G46" s="22" t="s">
        <v>21</v>
      </c>
      <c r="H46" s="22">
        <v>12.9</v>
      </c>
      <c r="I46" s="22">
        <v>17</v>
      </c>
      <c r="J46" s="21">
        <v>0.6785714285714286</v>
      </c>
      <c r="K46" s="113"/>
      <c r="L46" s="113"/>
    </row>
    <row r="47" spans="1:12" x14ac:dyDescent="0.3">
      <c r="A47" s="112"/>
      <c r="B47" s="19" t="s">
        <v>26</v>
      </c>
      <c r="C47" s="22">
        <v>1</v>
      </c>
      <c r="D47" s="22">
        <v>3</v>
      </c>
      <c r="E47" s="22">
        <v>2</v>
      </c>
      <c r="F47" s="22">
        <v>1219</v>
      </c>
      <c r="G47" s="22" t="s">
        <v>21</v>
      </c>
      <c r="H47" s="22">
        <v>17</v>
      </c>
      <c r="I47" s="22">
        <v>15.3</v>
      </c>
      <c r="J47" s="21">
        <v>0.70670391061452509</v>
      </c>
      <c r="K47" s="113"/>
      <c r="L47" s="113"/>
    </row>
    <row r="48" spans="1:12" x14ac:dyDescent="0.3">
      <c r="A48" s="112"/>
      <c r="B48" s="19" t="s">
        <v>24</v>
      </c>
      <c r="C48" s="22">
        <v>1</v>
      </c>
      <c r="D48" s="22">
        <v>2</v>
      </c>
      <c r="E48" s="22">
        <v>2</v>
      </c>
      <c r="F48" s="22">
        <v>3583</v>
      </c>
      <c r="G48" s="22" t="s">
        <v>21</v>
      </c>
      <c r="H48" s="22">
        <v>23.5</v>
      </c>
      <c r="I48" s="22">
        <v>16.600000000000001</v>
      </c>
      <c r="J48" s="21">
        <v>0.68503937007874016</v>
      </c>
      <c r="K48" s="113"/>
      <c r="L48" s="113"/>
    </row>
    <row r="49" spans="1:12" x14ac:dyDescent="0.3">
      <c r="A49" s="112"/>
      <c r="B49" s="19" t="s">
        <v>24</v>
      </c>
      <c r="C49" s="22">
        <v>1</v>
      </c>
      <c r="D49" s="22">
        <v>2</v>
      </c>
      <c r="E49" s="22">
        <v>2</v>
      </c>
      <c r="F49" s="22">
        <v>3584</v>
      </c>
      <c r="G49" s="22" t="s">
        <v>21</v>
      </c>
      <c r="H49" s="22">
        <v>20.2</v>
      </c>
      <c r="I49" s="22">
        <v>16.2</v>
      </c>
      <c r="J49" s="21">
        <v>0.69020501138952162</v>
      </c>
      <c r="K49" s="113"/>
      <c r="L49" s="113"/>
    </row>
    <row r="50" spans="1:12" x14ac:dyDescent="0.3">
      <c r="A50" s="112" t="s">
        <v>56</v>
      </c>
      <c r="B50" s="19" t="s">
        <v>24</v>
      </c>
      <c r="C50" s="22">
        <v>1</v>
      </c>
      <c r="D50" s="22">
        <v>1</v>
      </c>
      <c r="E50" s="22">
        <v>1</v>
      </c>
      <c r="F50" s="22">
        <v>1658</v>
      </c>
      <c r="G50" s="22" t="s">
        <v>57</v>
      </c>
      <c r="H50" s="22">
        <v>13.8</v>
      </c>
      <c r="I50" s="22">
        <v>12.1</v>
      </c>
      <c r="J50" s="21">
        <v>0.31835205992509363</v>
      </c>
      <c r="K50" s="113">
        <f t="shared" ref="K50" si="14">AVERAGE(J50:J55)</f>
        <v>0.35459042872117119</v>
      </c>
      <c r="L50" s="113">
        <f t="shared" ref="L50" si="15">_xlfn.STDEV.P(J50:J55)</f>
        <v>2.986993243645852E-2</v>
      </c>
    </row>
    <row r="51" spans="1:12" x14ac:dyDescent="0.3">
      <c r="A51" s="112"/>
      <c r="B51" s="19" t="s">
        <v>24</v>
      </c>
      <c r="C51" s="22">
        <v>1</v>
      </c>
      <c r="D51" s="22">
        <v>1</v>
      </c>
      <c r="E51" s="22">
        <v>1</v>
      </c>
      <c r="F51" s="22">
        <v>1661</v>
      </c>
      <c r="G51" s="22" t="s">
        <v>57</v>
      </c>
      <c r="H51" s="22">
        <v>17.2</v>
      </c>
      <c r="I51" s="22">
        <v>13.7</v>
      </c>
      <c r="J51" s="21">
        <v>0.31879194630872482</v>
      </c>
      <c r="K51" s="113"/>
      <c r="L51" s="113"/>
    </row>
    <row r="52" spans="1:12" x14ac:dyDescent="0.3">
      <c r="A52" s="112"/>
      <c r="B52" s="19" t="s">
        <v>30</v>
      </c>
      <c r="C52" s="22">
        <v>1</v>
      </c>
      <c r="D52" s="22">
        <v>3</v>
      </c>
      <c r="E52" s="22">
        <v>1</v>
      </c>
      <c r="F52" s="22">
        <v>1702</v>
      </c>
      <c r="G52" s="22" t="s">
        <v>57</v>
      </c>
      <c r="H52" s="22">
        <v>10.9</v>
      </c>
      <c r="I52" s="22">
        <v>9.6999999999999993</v>
      </c>
      <c r="J52" s="21">
        <v>0.37037037037037035</v>
      </c>
      <c r="K52" s="113"/>
      <c r="L52" s="113"/>
    </row>
    <row r="53" spans="1:12" x14ac:dyDescent="0.3">
      <c r="A53" s="112"/>
      <c r="B53" s="19" t="s">
        <v>20</v>
      </c>
      <c r="C53" s="22">
        <v>2</v>
      </c>
      <c r="D53" s="22">
        <v>2</v>
      </c>
      <c r="E53" s="22">
        <v>1</v>
      </c>
      <c r="F53" s="22">
        <v>309</v>
      </c>
      <c r="G53" s="22" t="s">
        <v>57</v>
      </c>
      <c r="H53" s="22">
        <v>19.899999999999999</v>
      </c>
      <c r="I53" s="22">
        <v>14.3</v>
      </c>
      <c r="J53" s="21">
        <v>0.3423180592991914</v>
      </c>
      <c r="K53" s="113"/>
      <c r="L53" s="113"/>
    </row>
    <row r="54" spans="1:12" x14ac:dyDescent="0.3">
      <c r="A54" s="112"/>
      <c r="B54" s="19" t="s">
        <v>20</v>
      </c>
      <c r="C54" s="22">
        <v>2</v>
      </c>
      <c r="D54" s="22">
        <v>2</v>
      </c>
      <c r="E54" s="22">
        <v>2</v>
      </c>
      <c r="F54" s="22">
        <v>339</v>
      </c>
      <c r="G54" s="22" t="s">
        <v>57</v>
      </c>
      <c r="H54" s="22">
        <v>21.1</v>
      </c>
      <c r="I54" s="22">
        <v>9.6999999999999993</v>
      </c>
      <c r="J54" s="21">
        <v>0.38653366583541149</v>
      </c>
      <c r="K54" s="113"/>
      <c r="L54" s="113"/>
    </row>
    <row r="55" spans="1:12" x14ac:dyDescent="0.3">
      <c r="A55" s="112"/>
      <c r="B55" s="19" t="s">
        <v>24</v>
      </c>
      <c r="C55" s="22">
        <v>2</v>
      </c>
      <c r="D55" s="22">
        <v>3</v>
      </c>
      <c r="E55" s="22">
        <v>1</v>
      </c>
      <c r="F55" s="22">
        <v>684</v>
      </c>
      <c r="G55" s="22" t="s">
        <v>57</v>
      </c>
      <c r="H55" s="22">
        <v>17.7</v>
      </c>
      <c r="I55" s="22">
        <v>9</v>
      </c>
      <c r="J55" s="21">
        <v>0.39117647058823529</v>
      </c>
      <c r="K55" s="113"/>
      <c r="L55" s="113"/>
    </row>
    <row r="56" spans="1:12" x14ac:dyDescent="0.3">
      <c r="A56" s="112" t="s">
        <v>58</v>
      </c>
      <c r="B56" s="19" t="s">
        <v>59</v>
      </c>
      <c r="C56" s="22">
        <v>2</v>
      </c>
      <c r="D56" s="22">
        <v>3</v>
      </c>
      <c r="E56" s="22">
        <v>1</v>
      </c>
      <c r="F56" s="22">
        <v>744</v>
      </c>
      <c r="G56" s="22" t="s">
        <v>60</v>
      </c>
      <c r="H56" s="22">
        <v>10.8</v>
      </c>
      <c r="I56" s="22">
        <v>6.5</v>
      </c>
      <c r="J56" s="21">
        <v>0.59210526315789469</v>
      </c>
      <c r="K56" s="113">
        <f t="shared" ref="K56" si="16">AVERAGE(J56:J61)</f>
        <v>0.58858858588931606</v>
      </c>
      <c r="L56" s="113">
        <f t="shared" ref="L56" si="17">_xlfn.STDEV.P(J56:J61)</f>
        <v>1.2916795855708678E-2</v>
      </c>
    </row>
    <row r="57" spans="1:12" x14ac:dyDescent="0.3">
      <c r="A57" s="112"/>
      <c r="B57" s="19" t="s">
        <v>59</v>
      </c>
      <c r="C57" s="22">
        <v>2</v>
      </c>
      <c r="D57" s="22">
        <v>3</v>
      </c>
      <c r="E57" s="22">
        <v>2</v>
      </c>
      <c r="F57" s="22">
        <v>751</v>
      </c>
      <c r="G57" s="22" t="s">
        <v>60</v>
      </c>
      <c r="H57" s="22" t="s">
        <v>174</v>
      </c>
      <c r="I57" s="22">
        <v>9.1</v>
      </c>
      <c r="J57" s="21">
        <v>0.59826589595375723</v>
      </c>
      <c r="K57" s="113"/>
      <c r="L57" s="113"/>
    </row>
    <row r="58" spans="1:12" x14ac:dyDescent="0.3">
      <c r="A58" s="112"/>
      <c r="B58" s="19" t="s">
        <v>59</v>
      </c>
      <c r="C58" s="22">
        <v>2</v>
      </c>
      <c r="D58" s="22">
        <v>3</v>
      </c>
      <c r="E58" s="22">
        <v>2</v>
      </c>
      <c r="F58" s="22">
        <v>755</v>
      </c>
      <c r="G58" s="22" t="s">
        <v>60</v>
      </c>
      <c r="H58" s="22">
        <v>24.3</v>
      </c>
      <c r="I58" s="22">
        <v>10.1</v>
      </c>
      <c r="J58" s="21">
        <v>0.57894736842105265</v>
      </c>
      <c r="K58" s="113"/>
      <c r="L58" s="113"/>
    </row>
    <row r="59" spans="1:12" x14ac:dyDescent="0.3">
      <c r="A59" s="112"/>
      <c r="B59" s="19" t="s">
        <v>59</v>
      </c>
      <c r="C59" s="22">
        <v>2</v>
      </c>
      <c r="D59" s="22">
        <v>3</v>
      </c>
      <c r="E59" s="22">
        <v>2</v>
      </c>
      <c r="F59" s="22">
        <v>761</v>
      </c>
      <c r="G59" s="22" t="s">
        <v>60</v>
      </c>
      <c r="H59" s="22">
        <v>16.2</v>
      </c>
      <c r="I59" s="22">
        <v>7.2</v>
      </c>
      <c r="J59" s="21">
        <v>0.56907894736842102</v>
      </c>
      <c r="K59" s="113"/>
      <c r="L59" s="113"/>
    </row>
    <row r="60" spans="1:12" x14ac:dyDescent="0.3">
      <c r="A60" s="112"/>
      <c r="B60" s="19" t="s">
        <v>59</v>
      </c>
      <c r="C60" s="22">
        <v>2</v>
      </c>
      <c r="D60" s="22">
        <v>3</v>
      </c>
      <c r="E60" s="22">
        <v>2</v>
      </c>
      <c r="F60" s="22">
        <v>766</v>
      </c>
      <c r="G60" s="22" t="s">
        <v>60</v>
      </c>
      <c r="H60" s="22" t="s">
        <v>175</v>
      </c>
      <c r="I60" s="22">
        <v>7.9</v>
      </c>
      <c r="J60" s="21">
        <v>0.6045454545454545</v>
      </c>
      <c r="K60" s="113"/>
      <c r="L60" s="113"/>
    </row>
    <row r="61" spans="1:12" x14ac:dyDescent="0.3">
      <c r="A61" s="112"/>
      <c r="B61" s="7"/>
      <c r="C61" s="16"/>
      <c r="D61" s="16"/>
      <c r="E61" s="16"/>
      <c r="F61" s="16"/>
      <c r="G61" s="16"/>
      <c r="H61" s="21"/>
      <c r="I61" s="16"/>
      <c r="J61" s="21"/>
      <c r="K61" s="113"/>
      <c r="L61" s="113"/>
    </row>
    <row r="62" spans="1:12" x14ac:dyDescent="0.3">
      <c r="A62" s="112" t="s">
        <v>61</v>
      </c>
      <c r="B62" s="19" t="s">
        <v>30</v>
      </c>
      <c r="C62" s="22">
        <v>2</v>
      </c>
      <c r="D62" s="22">
        <v>3</v>
      </c>
      <c r="E62" s="22">
        <v>1</v>
      </c>
      <c r="F62" s="22">
        <v>586</v>
      </c>
      <c r="G62" s="22" t="s">
        <v>21</v>
      </c>
      <c r="H62" s="22">
        <v>10.6</v>
      </c>
      <c r="I62" s="22">
        <v>9.8000000000000007</v>
      </c>
      <c r="J62" s="21">
        <v>0.6863636363636364</v>
      </c>
      <c r="K62" s="113">
        <f t="shared" ref="K62" si="18">AVERAGE(J62:J67)</f>
        <v>0.6806364434710519</v>
      </c>
      <c r="L62" s="113">
        <f t="shared" ref="L62" si="19">_xlfn.STDEV.P(J62:J67)</f>
        <v>3.3875344537595505E-2</v>
      </c>
    </row>
    <row r="63" spans="1:12" x14ac:dyDescent="0.3">
      <c r="A63" s="112"/>
      <c r="B63" s="19" t="s">
        <v>30</v>
      </c>
      <c r="C63" s="22">
        <v>2</v>
      </c>
      <c r="D63" s="22">
        <v>3</v>
      </c>
      <c r="E63" s="22">
        <v>1</v>
      </c>
      <c r="F63" s="22">
        <v>592</v>
      </c>
      <c r="G63" s="22" t="s">
        <v>21</v>
      </c>
      <c r="H63" s="22">
        <v>31.8</v>
      </c>
      <c r="I63" s="22">
        <v>12.6</v>
      </c>
      <c r="J63" s="21">
        <v>0.62278481012658227</v>
      </c>
      <c r="K63" s="113"/>
      <c r="L63" s="113"/>
    </row>
    <row r="64" spans="1:12" x14ac:dyDescent="0.3">
      <c r="A64" s="112"/>
      <c r="B64" s="19" t="s">
        <v>30</v>
      </c>
      <c r="C64" s="22">
        <v>2</v>
      </c>
      <c r="D64" s="22">
        <v>3</v>
      </c>
      <c r="E64" s="22">
        <v>1</v>
      </c>
      <c r="F64" s="22">
        <v>594</v>
      </c>
      <c r="G64" s="22" t="s">
        <v>21</v>
      </c>
      <c r="H64" s="22">
        <v>30.5</v>
      </c>
      <c r="I64" s="22">
        <v>13.2</v>
      </c>
      <c r="J64" s="21">
        <v>0.72512647554806076</v>
      </c>
      <c r="K64" s="113"/>
      <c r="L64" s="113"/>
    </row>
    <row r="65" spans="1:12" x14ac:dyDescent="0.3">
      <c r="A65" s="112"/>
      <c r="B65" s="8"/>
      <c r="C65" s="9"/>
      <c r="D65" s="9"/>
      <c r="E65" s="9"/>
      <c r="F65" s="9"/>
      <c r="G65" s="9"/>
      <c r="H65" s="9"/>
      <c r="I65" s="9"/>
      <c r="J65" s="10"/>
      <c r="K65" s="113"/>
      <c r="L65" s="113"/>
    </row>
    <row r="66" spans="1:12" x14ac:dyDescent="0.3">
      <c r="A66" s="112"/>
      <c r="B66" s="19" t="s">
        <v>44</v>
      </c>
      <c r="C66" s="22">
        <v>2</v>
      </c>
      <c r="D66" s="22">
        <v>3</v>
      </c>
      <c r="E66" s="22">
        <v>1</v>
      </c>
      <c r="F66" s="22">
        <v>699</v>
      </c>
      <c r="G66" s="22" t="s">
        <v>21</v>
      </c>
      <c r="H66" s="22">
        <v>10.199999999999999</v>
      </c>
      <c r="I66" s="22">
        <v>9.1999999999999993</v>
      </c>
      <c r="J66" s="21">
        <v>0.67123287671232879</v>
      </c>
      <c r="K66" s="113"/>
      <c r="L66" s="113"/>
    </row>
    <row r="67" spans="1:12" x14ac:dyDescent="0.3">
      <c r="A67" s="112"/>
      <c r="B67" s="19" t="s">
        <v>20</v>
      </c>
      <c r="C67" s="22">
        <v>2</v>
      </c>
      <c r="D67" s="22">
        <v>3</v>
      </c>
      <c r="E67" s="22">
        <v>1</v>
      </c>
      <c r="F67" s="22">
        <v>721</v>
      </c>
      <c r="G67" s="22" t="s">
        <v>21</v>
      </c>
      <c r="H67" s="22" t="s">
        <v>176</v>
      </c>
      <c r="I67" s="22">
        <v>12.1</v>
      </c>
      <c r="J67" s="21">
        <v>0.69767441860465118</v>
      </c>
      <c r="K67" s="113"/>
      <c r="L67" s="113"/>
    </row>
    <row r="68" spans="1:12" x14ac:dyDescent="0.3">
      <c r="A68" s="112" t="s">
        <v>62</v>
      </c>
      <c r="B68" s="19" t="s">
        <v>26</v>
      </c>
      <c r="C68" s="22">
        <v>1</v>
      </c>
      <c r="D68" s="22">
        <v>2</v>
      </c>
      <c r="E68" s="22">
        <v>2</v>
      </c>
      <c r="F68" s="22">
        <v>1360</v>
      </c>
      <c r="G68" s="22" t="s">
        <v>63</v>
      </c>
      <c r="H68" s="22">
        <v>10.7</v>
      </c>
      <c r="I68" s="22">
        <v>5.3</v>
      </c>
      <c r="J68" s="21">
        <v>0.21111111111111111</v>
      </c>
      <c r="K68" s="113">
        <f t="shared" ref="K68" si="20">AVERAGE(J68:J73)</f>
        <v>0.22988027386552626</v>
      </c>
      <c r="L68" s="113">
        <f t="shared" ref="L68" si="21">_xlfn.STDEV.P(J68:J73)</f>
        <v>2.8993900578684655E-2</v>
      </c>
    </row>
    <row r="69" spans="1:12" x14ac:dyDescent="0.3">
      <c r="A69" s="112"/>
      <c r="B69" s="19" t="s">
        <v>20</v>
      </c>
      <c r="C69" s="22">
        <v>1</v>
      </c>
      <c r="D69" s="22">
        <v>2</v>
      </c>
      <c r="E69" s="22">
        <v>2</v>
      </c>
      <c r="F69" s="22">
        <v>7462</v>
      </c>
      <c r="G69" s="22" t="s">
        <v>63</v>
      </c>
      <c r="H69" s="22">
        <v>11.1</v>
      </c>
      <c r="I69" s="22">
        <v>6.6</v>
      </c>
      <c r="J69" s="21">
        <v>0.26605504587155965</v>
      </c>
      <c r="K69" s="113"/>
      <c r="L69" s="113"/>
    </row>
    <row r="70" spans="1:12" x14ac:dyDescent="0.3">
      <c r="A70" s="112"/>
      <c r="B70" s="19" t="s">
        <v>20</v>
      </c>
      <c r="C70" s="22">
        <v>1</v>
      </c>
      <c r="D70" s="22">
        <v>2</v>
      </c>
      <c r="E70" s="22">
        <v>2</v>
      </c>
      <c r="F70" s="22">
        <v>7478</v>
      </c>
      <c r="G70" s="22" t="s">
        <v>63</v>
      </c>
      <c r="H70" s="22">
        <v>10.4</v>
      </c>
      <c r="I70" s="22">
        <v>7.3</v>
      </c>
      <c r="J70" s="21">
        <v>0.19277108433734941</v>
      </c>
      <c r="K70" s="113"/>
      <c r="L70" s="113"/>
    </row>
    <row r="71" spans="1:12" x14ac:dyDescent="0.3">
      <c r="A71" s="112"/>
      <c r="B71" s="19" t="s">
        <v>20</v>
      </c>
      <c r="C71" s="22">
        <v>1</v>
      </c>
      <c r="D71" s="22">
        <v>2</v>
      </c>
      <c r="E71" s="22">
        <v>2</v>
      </c>
      <c r="F71" s="22">
        <v>7479</v>
      </c>
      <c r="G71" s="22" t="s">
        <v>63</v>
      </c>
      <c r="H71" s="22">
        <v>16.2</v>
      </c>
      <c r="I71" s="22">
        <v>7.5</v>
      </c>
      <c r="J71" s="21">
        <v>0.22222222222222221</v>
      </c>
      <c r="K71" s="113"/>
      <c r="L71" s="113"/>
    </row>
    <row r="72" spans="1:12" x14ac:dyDescent="0.3">
      <c r="A72" s="112"/>
      <c r="B72" s="19" t="s">
        <v>20</v>
      </c>
      <c r="C72" s="22">
        <v>1</v>
      </c>
      <c r="D72" s="22">
        <v>2</v>
      </c>
      <c r="E72" s="22">
        <v>2</v>
      </c>
      <c r="F72" s="22">
        <v>7480</v>
      </c>
      <c r="G72" s="22" t="s">
        <v>63</v>
      </c>
      <c r="H72" s="22" t="s">
        <v>177</v>
      </c>
      <c r="I72" s="22">
        <v>6.4</v>
      </c>
      <c r="J72" s="21">
        <v>0.27160493827160492</v>
      </c>
      <c r="K72" s="113"/>
      <c r="L72" s="113"/>
    </row>
    <row r="73" spans="1:12" x14ac:dyDescent="0.3">
      <c r="A73" s="112"/>
      <c r="B73" s="19" t="s">
        <v>20</v>
      </c>
      <c r="C73" s="22">
        <v>1</v>
      </c>
      <c r="D73" s="22">
        <v>2</v>
      </c>
      <c r="E73" s="22">
        <v>2</v>
      </c>
      <c r="F73" s="22">
        <v>7482</v>
      </c>
      <c r="G73" s="22" t="s">
        <v>63</v>
      </c>
      <c r="H73" s="22">
        <v>12</v>
      </c>
      <c r="I73" s="22">
        <v>7.4</v>
      </c>
      <c r="J73" s="21">
        <v>0.21551724137931033</v>
      </c>
      <c r="K73" s="113"/>
      <c r="L73" s="113"/>
    </row>
    <row r="74" spans="1:12" x14ac:dyDescent="0.3">
      <c r="A74" s="112" t="s">
        <v>64</v>
      </c>
      <c r="B74" s="19" t="s">
        <v>20</v>
      </c>
      <c r="C74" s="22">
        <v>2</v>
      </c>
      <c r="D74" s="22">
        <v>1</v>
      </c>
      <c r="E74" s="22">
        <v>2</v>
      </c>
      <c r="F74" s="22">
        <v>67</v>
      </c>
      <c r="G74" s="22" t="s">
        <v>65</v>
      </c>
      <c r="H74" s="22">
        <v>10.5</v>
      </c>
      <c r="I74" s="22">
        <v>4</v>
      </c>
      <c r="J74" s="21">
        <v>0.50270270270270268</v>
      </c>
      <c r="K74" s="113">
        <f t="shared" ref="K74" si="22">AVERAGE(J74:J79)</f>
        <v>0.51917554605956839</v>
      </c>
      <c r="L74" s="113">
        <f t="shared" ref="L74" si="23">_xlfn.STDEV.P(J74:J79)</f>
        <v>9.899839339026972E-3</v>
      </c>
    </row>
    <row r="75" spans="1:12" x14ac:dyDescent="0.3">
      <c r="A75" s="112"/>
      <c r="B75" s="19" t="s">
        <v>59</v>
      </c>
      <c r="C75" s="22">
        <v>2</v>
      </c>
      <c r="D75" s="22">
        <v>1</v>
      </c>
      <c r="E75" s="22">
        <v>1</v>
      </c>
      <c r="F75" s="22">
        <v>275</v>
      </c>
      <c r="G75" s="22" t="s">
        <v>65</v>
      </c>
      <c r="H75" s="22" t="s">
        <v>178</v>
      </c>
      <c r="I75" s="22">
        <v>6.8</v>
      </c>
      <c r="J75" s="21">
        <v>0.53237410071942448</v>
      </c>
      <c r="K75" s="113"/>
      <c r="L75" s="113"/>
    </row>
    <row r="76" spans="1:12" x14ac:dyDescent="0.3">
      <c r="A76" s="112"/>
      <c r="B76" s="19" t="s">
        <v>59</v>
      </c>
      <c r="C76" s="22">
        <v>2</v>
      </c>
      <c r="D76" s="22">
        <v>1</v>
      </c>
      <c r="E76" s="22">
        <v>2</v>
      </c>
      <c r="F76" s="22">
        <v>291</v>
      </c>
      <c r="G76" s="22" t="s">
        <v>65</v>
      </c>
      <c r="H76" s="22" t="s">
        <v>179</v>
      </c>
      <c r="I76" s="22">
        <v>7.5</v>
      </c>
      <c r="J76" s="21">
        <v>0.51583710407239824</v>
      </c>
      <c r="K76" s="113"/>
      <c r="L76" s="113"/>
    </row>
    <row r="77" spans="1:12" x14ac:dyDescent="0.3">
      <c r="A77" s="112"/>
      <c r="B77" s="19" t="s">
        <v>59</v>
      </c>
      <c r="C77" s="22">
        <v>2</v>
      </c>
      <c r="D77" s="22">
        <v>2</v>
      </c>
      <c r="E77" s="22">
        <v>1</v>
      </c>
      <c r="F77" s="22">
        <v>559</v>
      </c>
      <c r="G77" s="22" t="s">
        <v>65</v>
      </c>
      <c r="H77" s="22" t="s">
        <v>180</v>
      </c>
      <c r="I77" s="22">
        <v>8</v>
      </c>
      <c r="J77" s="21">
        <v>0.52551020408163263</v>
      </c>
      <c r="K77" s="113"/>
      <c r="L77" s="113"/>
    </row>
    <row r="78" spans="1:12" x14ac:dyDescent="0.3">
      <c r="A78" s="112"/>
      <c r="B78" s="19" t="s">
        <v>59</v>
      </c>
      <c r="C78" s="22">
        <v>2</v>
      </c>
      <c r="D78" s="22">
        <v>2</v>
      </c>
      <c r="E78" s="22">
        <v>1</v>
      </c>
      <c r="F78" s="22">
        <v>563</v>
      </c>
      <c r="G78" s="22" t="s">
        <v>65</v>
      </c>
      <c r="H78" s="22" t="s">
        <v>181</v>
      </c>
      <c r="I78" s="22">
        <v>6.4</v>
      </c>
      <c r="J78" s="21">
        <v>0.51256281407035176</v>
      </c>
      <c r="K78" s="113"/>
      <c r="L78" s="113"/>
    </row>
    <row r="79" spans="1:12" x14ac:dyDescent="0.3">
      <c r="A79" s="112"/>
      <c r="B79" s="19" t="s">
        <v>59</v>
      </c>
      <c r="C79" s="22">
        <v>2</v>
      </c>
      <c r="D79" s="22">
        <v>2</v>
      </c>
      <c r="E79" s="22">
        <v>2</v>
      </c>
      <c r="F79" s="22">
        <v>570</v>
      </c>
      <c r="G79" s="22" t="s">
        <v>65</v>
      </c>
      <c r="H79" s="22">
        <v>10.4</v>
      </c>
      <c r="I79" s="22">
        <v>5.5</v>
      </c>
      <c r="J79" s="21">
        <v>0.52606635071090047</v>
      </c>
      <c r="K79" s="113"/>
      <c r="L79" s="113"/>
    </row>
    <row r="80" spans="1:12" x14ac:dyDescent="0.3">
      <c r="A80" s="112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1270</v>
      </c>
      <c r="G80" s="22" t="s">
        <v>21</v>
      </c>
      <c r="H80" s="22">
        <v>14.9</v>
      </c>
      <c r="I80" s="22">
        <v>7.9</v>
      </c>
      <c r="J80" s="21">
        <v>0.47868852459016392</v>
      </c>
      <c r="K80" s="113">
        <f t="shared" ref="K80" si="24">AVERAGE(J80:J85)</f>
        <v>0.51821719996960403</v>
      </c>
      <c r="L80" s="113">
        <f t="shared" ref="L80" si="25">_xlfn.STDEV.P(J80:J85)</f>
        <v>3.1926185398914363E-2</v>
      </c>
    </row>
    <row r="81" spans="1:12" x14ac:dyDescent="0.3">
      <c r="A81" s="112"/>
      <c r="B81" s="19" t="s">
        <v>59</v>
      </c>
      <c r="C81" s="22">
        <v>1</v>
      </c>
      <c r="D81" s="22">
        <v>1</v>
      </c>
      <c r="E81" s="22">
        <v>1</v>
      </c>
      <c r="F81" s="22">
        <v>1271</v>
      </c>
      <c r="G81" s="22" t="s">
        <v>21</v>
      </c>
      <c r="H81" s="22">
        <v>16.399999999999999</v>
      </c>
      <c r="I81" s="22">
        <v>10</v>
      </c>
      <c r="J81" s="21">
        <v>0.49538461538461537</v>
      </c>
      <c r="K81" s="113"/>
      <c r="L81" s="113"/>
    </row>
    <row r="82" spans="1:12" x14ac:dyDescent="0.3">
      <c r="A82" s="112"/>
      <c r="B82" s="19" t="s">
        <v>59</v>
      </c>
      <c r="C82" s="22">
        <v>1</v>
      </c>
      <c r="D82" s="22">
        <v>1</v>
      </c>
      <c r="E82" s="22">
        <v>2</v>
      </c>
      <c r="F82" s="22">
        <v>1276</v>
      </c>
      <c r="G82" s="22" t="s">
        <v>21</v>
      </c>
      <c r="H82" s="22">
        <v>15.7</v>
      </c>
      <c r="I82" s="22">
        <v>9.5</v>
      </c>
      <c r="J82" s="21">
        <v>0.4955223880597015</v>
      </c>
      <c r="K82" s="113"/>
      <c r="L82" s="113"/>
    </row>
    <row r="83" spans="1:12" x14ac:dyDescent="0.3">
      <c r="A83" s="112"/>
      <c r="B83" s="19" t="s">
        <v>59</v>
      </c>
      <c r="C83" s="22">
        <v>1</v>
      </c>
      <c r="D83" s="22">
        <v>1</v>
      </c>
      <c r="E83" s="22">
        <v>1</v>
      </c>
      <c r="F83" s="22">
        <v>3288</v>
      </c>
      <c r="G83" s="22" t="s">
        <v>21</v>
      </c>
      <c r="H83" s="22">
        <v>10.3</v>
      </c>
      <c r="I83" s="22">
        <v>9.1999999999999993</v>
      </c>
      <c r="J83" s="21">
        <v>0.53535353535353536</v>
      </c>
      <c r="K83" s="113"/>
      <c r="L83" s="113"/>
    </row>
    <row r="84" spans="1:12" x14ac:dyDescent="0.3">
      <c r="A84" s="112"/>
      <c r="B84" s="19" t="s">
        <v>59</v>
      </c>
      <c r="C84" s="22">
        <v>1</v>
      </c>
      <c r="D84" s="22">
        <v>1</v>
      </c>
      <c r="E84" s="22">
        <v>1</v>
      </c>
      <c r="F84" s="22">
        <v>3297</v>
      </c>
      <c r="G84" s="22" t="s">
        <v>21</v>
      </c>
      <c r="H84" s="22">
        <v>13</v>
      </c>
      <c r="I84" s="22">
        <v>10.7</v>
      </c>
      <c r="J84" s="21">
        <v>0.57358490566037734</v>
      </c>
      <c r="K84" s="113"/>
      <c r="L84" s="113"/>
    </row>
    <row r="85" spans="1:12" x14ac:dyDescent="0.3">
      <c r="A85" s="112"/>
      <c r="B85" s="19" t="s">
        <v>30</v>
      </c>
      <c r="C85" s="22">
        <v>1</v>
      </c>
      <c r="D85" s="22">
        <v>2</v>
      </c>
      <c r="E85" s="22">
        <v>1</v>
      </c>
      <c r="F85" s="22">
        <v>4965</v>
      </c>
      <c r="G85" s="22" t="s">
        <v>21</v>
      </c>
      <c r="H85" s="22">
        <v>19.399999999999999</v>
      </c>
      <c r="I85" s="22">
        <v>14.8</v>
      </c>
      <c r="J85" s="21">
        <v>0.53076923076923077</v>
      </c>
      <c r="K85" s="113"/>
      <c r="L85" s="113"/>
    </row>
    <row r="86" spans="1:12" x14ac:dyDescent="0.3">
      <c r="A86" s="112" t="s">
        <v>67</v>
      </c>
      <c r="B86" s="19" t="s">
        <v>59</v>
      </c>
      <c r="C86" s="22">
        <v>1</v>
      </c>
      <c r="D86" s="22">
        <v>1</v>
      </c>
      <c r="E86" s="22">
        <v>2</v>
      </c>
      <c r="F86" s="22">
        <v>1296</v>
      </c>
      <c r="G86" s="22" t="s">
        <v>68</v>
      </c>
      <c r="H86" s="22">
        <v>12.5</v>
      </c>
      <c r="I86" s="22">
        <v>10</v>
      </c>
      <c r="J86" s="21">
        <v>0.62621359223300976</v>
      </c>
      <c r="K86" s="113">
        <f t="shared" ref="K86" si="26">AVERAGE(J86:J91)</f>
        <v>0.61692561920872535</v>
      </c>
      <c r="L86" s="113">
        <f t="shared" ref="L86" si="27">_xlfn.STDEV.P(J86:J91)</f>
        <v>3.2748184448880412E-2</v>
      </c>
    </row>
    <row r="87" spans="1:12" x14ac:dyDescent="0.3">
      <c r="A87" s="112"/>
      <c r="B87" s="19" t="s">
        <v>26</v>
      </c>
      <c r="C87" s="22">
        <v>1</v>
      </c>
      <c r="D87" s="22">
        <v>1</v>
      </c>
      <c r="E87" s="22">
        <v>2</v>
      </c>
      <c r="F87" s="22">
        <v>1648</v>
      </c>
      <c r="G87" s="22" t="s">
        <v>68</v>
      </c>
      <c r="H87" s="22">
        <v>18.399999999999999</v>
      </c>
      <c r="I87" s="22">
        <v>10.3</v>
      </c>
      <c r="J87" s="21">
        <v>0.56457564575645758</v>
      </c>
      <c r="K87" s="113"/>
      <c r="L87" s="113"/>
    </row>
    <row r="88" spans="1:12" x14ac:dyDescent="0.3">
      <c r="A88" s="112"/>
      <c r="B88" s="19" t="s">
        <v>26</v>
      </c>
      <c r="C88" s="22">
        <v>1</v>
      </c>
      <c r="D88" s="22">
        <v>1</v>
      </c>
      <c r="E88" s="22">
        <v>2</v>
      </c>
      <c r="F88" s="22">
        <v>1651</v>
      </c>
      <c r="G88" s="22" t="s">
        <v>68</v>
      </c>
      <c r="H88" s="22">
        <v>10.6</v>
      </c>
      <c r="I88" s="22">
        <v>7</v>
      </c>
      <c r="J88" s="21">
        <v>0.60759493670886078</v>
      </c>
      <c r="K88" s="113"/>
      <c r="L88" s="113"/>
    </row>
    <row r="89" spans="1:12" x14ac:dyDescent="0.3">
      <c r="A89" s="112"/>
      <c r="B89" s="19" t="s">
        <v>24</v>
      </c>
      <c r="C89" s="22">
        <v>1</v>
      </c>
      <c r="D89" s="22">
        <v>1</v>
      </c>
      <c r="E89" s="22">
        <v>1</v>
      </c>
      <c r="F89" s="22">
        <v>1670</v>
      </c>
      <c r="G89" s="22" t="s">
        <v>68</v>
      </c>
      <c r="H89" s="22">
        <v>11.2</v>
      </c>
      <c r="I89" s="22">
        <v>6.8</v>
      </c>
      <c r="J89" s="21">
        <v>0.60431654676258995</v>
      </c>
      <c r="K89" s="113"/>
      <c r="L89" s="113"/>
    </row>
    <row r="90" spans="1:12" x14ac:dyDescent="0.3">
      <c r="A90" s="112"/>
      <c r="B90" s="5" t="s">
        <v>24</v>
      </c>
      <c r="C90" s="6">
        <v>1</v>
      </c>
      <c r="D90" s="6">
        <v>1</v>
      </c>
      <c r="E90" s="6">
        <v>1</v>
      </c>
      <c r="F90" s="6">
        <v>1667</v>
      </c>
      <c r="G90" s="6" t="s">
        <v>68</v>
      </c>
      <c r="H90" s="6" t="s">
        <v>182</v>
      </c>
      <c r="I90" s="6">
        <v>7.4</v>
      </c>
      <c r="J90" s="21">
        <v>0.67441860465116277</v>
      </c>
      <c r="K90" s="113"/>
      <c r="L90" s="113"/>
    </row>
    <row r="91" spans="1:12" x14ac:dyDescent="0.3">
      <c r="A91" s="112"/>
      <c r="B91" s="19" t="s">
        <v>44</v>
      </c>
      <c r="C91" s="22">
        <v>1</v>
      </c>
      <c r="D91" s="22">
        <v>2</v>
      </c>
      <c r="E91" s="22">
        <v>2</v>
      </c>
      <c r="F91" s="22">
        <v>7495</v>
      </c>
      <c r="G91" s="22" t="s">
        <v>68</v>
      </c>
      <c r="H91" s="22">
        <v>12.4</v>
      </c>
      <c r="I91" s="22">
        <v>8.6999999999999993</v>
      </c>
      <c r="J91" s="21">
        <v>0.6244343891402715</v>
      </c>
      <c r="K91" s="113"/>
      <c r="L91" s="113"/>
    </row>
    <row r="92" spans="1:12" x14ac:dyDescent="0.3">
      <c r="A92" s="112" t="s">
        <v>69</v>
      </c>
      <c r="B92" s="19" t="s">
        <v>30</v>
      </c>
      <c r="C92" s="22">
        <v>1</v>
      </c>
      <c r="D92" s="22">
        <v>1</v>
      </c>
      <c r="E92" s="22">
        <v>2</v>
      </c>
      <c r="F92" s="22">
        <v>1330</v>
      </c>
      <c r="G92" s="22" t="s">
        <v>54</v>
      </c>
      <c r="H92" s="22">
        <v>13</v>
      </c>
      <c r="I92" s="22">
        <v>9.6</v>
      </c>
      <c r="J92" s="21">
        <v>0.43252595155709345</v>
      </c>
      <c r="K92" s="113">
        <f t="shared" ref="K92" si="28">AVERAGE(J92:J97)</f>
        <v>0.41918256774988</v>
      </c>
      <c r="L92" s="113">
        <f t="shared" ref="L92" si="29">_xlfn.STDEV.P(J92:J97)</f>
        <v>2.5812695527466931E-2</v>
      </c>
    </row>
    <row r="93" spans="1:12" x14ac:dyDescent="0.3">
      <c r="A93" s="112"/>
      <c r="B93" s="19" t="s">
        <v>44</v>
      </c>
      <c r="C93" s="22">
        <v>1</v>
      </c>
      <c r="D93" s="22">
        <v>2</v>
      </c>
      <c r="E93" s="22">
        <v>2</v>
      </c>
      <c r="F93" s="22">
        <v>1794</v>
      </c>
      <c r="G93" s="22" t="s">
        <v>54</v>
      </c>
      <c r="H93" s="22">
        <v>12.8</v>
      </c>
      <c r="I93" s="22">
        <v>9.4</v>
      </c>
      <c r="J93" s="21">
        <v>0.43609022556390975</v>
      </c>
      <c r="K93" s="113"/>
      <c r="L93" s="113"/>
    </row>
    <row r="94" spans="1:12" x14ac:dyDescent="0.3">
      <c r="A94" s="112"/>
      <c r="B94" s="19" t="s">
        <v>24</v>
      </c>
      <c r="C94" s="22">
        <v>1</v>
      </c>
      <c r="D94" s="22">
        <v>2</v>
      </c>
      <c r="E94" s="22">
        <v>2</v>
      </c>
      <c r="F94" s="22">
        <v>3589</v>
      </c>
      <c r="G94" s="22" t="s">
        <v>54</v>
      </c>
      <c r="H94" s="22">
        <v>13.8</v>
      </c>
      <c r="I94" s="22">
        <v>7.5</v>
      </c>
      <c r="J94" s="21">
        <v>0.4375</v>
      </c>
      <c r="K94" s="113"/>
      <c r="L94" s="113"/>
    </row>
    <row r="95" spans="1:12" x14ac:dyDescent="0.3">
      <c r="A95" s="112"/>
      <c r="B95" s="5" t="s">
        <v>24</v>
      </c>
      <c r="C95" s="6">
        <v>2</v>
      </c>
      <c r="D95" s="6">
        <v>1</v>
      </c>
      <c r="E95" s="6">
        <v>1</v>
      </c>
      <c r="F95" s="6">
        <v>143</v>
      </c>
      <c r="G95" s="6" t="s">
        <v>54</v>
      </c>
      <c r="H95" s="6" t="s">
        <v>183</v>
      </c>
      <c r="I95" s="6">
        <v>9.4</v>
      </c>
      <c r="J95" s="21">
        <v>0.36301369863013699</v>
      </c>
      <c r="K95" s="113"/>
      <c r="L95" s="113"/>
    </row>
    <row r="96" spans="1:12" x14ac:dyDescent="0.3">
      <c r="A96" s="112"/>
      <c r="B96" s="5" t="s">
        <v>59</v>
      </c>
      <c r="C96" s="6">
        <v>2</v>
      </c>
      <c r="D96" s="6">
        <v>1</v>
      </c>
      <c r="E96" s="6">
        <v>1</v>
      </c>
      <c r="F96" s="6">
        <v>276</v>
      </c>
      <c r="G96" s="6" t="s">
        <v>54</v>
      </c>
      <c r="H96" s="6" t="s">
        <v>184</v>
      </c>
      <c r="I96" s="6">
        <v>6.3</v>
      </c>
      <c r="J96" s="21">
        <v>0.42028985507246375</v>
      </c>
      <c r="K96" s="113"/>
      <c r="L96" s="113"/>
    </row>
    <row r="97" spans="1:12" x14ac:dyDescent="0.3">
      <c r="A97" s="112"/>
      <c r="B97" s="5" t="s">
        <v>30</v>
      </c>
      <c r="C97" s="6">
        <v>2</v>
      </c>
      <c r="D97" s="6">
        <v>1</v>
      </c>
      <c r="E97" s="6">
        <v>1</v>
      </c>
      <c r="F97" s="6">
        <v>78</v>
      </c>
      <c r="G97" s="6" t="s">
        <v>54</v>
      </c>
      <c r="H97" s="6" t="s">
        <v>185</v>
      </c>
      <c r="I97" s="6">
        <v>11.9</v>
      </c>
      <c r="J97" s="21">
        <v>0.42567567567567566</v>
      </c>
      <c r="K97" s="113"/>
      <c r="L97" s="113"/>
    </row>
    <row r="98" spans="1:12" x14ac:dyDescent="0.3">
      <c r="A98" s="112" t="s">
        <v>70</v>
      </c>
      <c r="B98" s="19" t="s">
        <v>30</v>
      </c>
      <c r="C98" s="22">
        <v>1</v>
      </c>
      <c r="D98" s="22">
        <v>1</v>
      </c>
      <c r="E98" s="22">
        <v>1</v>
      </c>
      <c r="F98" s="22">
        <v>1303</v>
      </c>
      <c r="G98" s="22" t="s">
        <v>71</v>
      </c>
      <c r="H98" s="22" t="s">
        <v>186</v>
      </c>
      <c r="I98" s="22">
        <v>16.7</v>
      </c>
      <c r="J98" s="21">
        <v>0.49367088607594939</v>
      </c>
      <c r="K98" s="113">
        <f t="shared" ref="K98" si="30">AVERAGE(J98:J103)</f>
        <v>0.48845417444734068</v>
      </c>
      <c r="L98" s="113">
        <f t="shared" ref="L98" si="31">_xlfn.STDEV.P(J98:J103)</f>
        <v>3.2415853269835017E-2</v>
      </c>
    </row>
    <row r="99" spans="1:12" x14ac:dyDescent="0.3">
      <c r="A99" s="112"/>
      <c r="B99" s="19" t="s">
        <v>38</v>
      </c>
      <c r="C99" s="22">
        <v>1</v>
      </c>
      <c r="D99" s="22">
        <v>3</v>
      </c>
      <c r="E99" s="22">
        <v>2</v>
      </c>
      <c r="F99" s="22">
        <v>1622</v>
      </c>
      <c r="G99" s="22" t="s">
        <v>71</v>
      </c>
      <c r="H99" s="22" t="s">
        <v>187</v>
      </c>
      <c r="I99" s="22">
        <v>11.5</v>
      </c>
      <c r="J99" s="21">
        <v>0.51980198019801982</v>
      </c>
      <c r="K99" s="113"/>
      <c r="L99" s="113"/>
    </row>
    <row r="100" spans="1:12" x14ac:dyDescent="0.3">
      <c r="A100" s="112"/>
      <c r="B100" s="19" t="s">
        <v>30</v>
      </c>
      <c r="C100" s="22">
        <v>1</v>
      </c>
      <c r="D100" s="22">
        <v>2</v>
      </c>
      <c r="E100" s="22">
        <v>1</v>
      </c>
      <c r="F100" s="22">
        <v>4960</v>
      </c>
      <c r="G100" s="22" t="s">
        <v>71</v>
      </c>
      <c r="H100" s="22">
        <v>17.399999999999999</v>
      </c>
      <c r="I100" s="22">
        <v>12.7</v>
      </c>
      <c r="J100" s="21">
        <v>0.44144144144144143</v>
      </c>
      <c r="K100" s="113"/>
      <c r="L100" s="113"/>
    </row>
    <row r="101" spans="1:12" x14ac:dyDescent="0.3">
      <c r="A101" s="112"/>
      <c r="B101" s="5" t="s">
        <v>30</v>
      </c>
      <c r="C101" s="6">
        <v>2</v>
      </c>
      <c r="D101" s="6">
        <v>1</v>
      </c>
      <c r="E101" s="6">
        <v>1</v>
      </c>
      <c r="F101" s="11">
        <v>85</v>
      </c>
      <c r="G101" s="6" t="s">
        <v>71</v>
      </c>
      <c r="H101" s="6" t="s">
        <v>188</v>
      </c>
      <c r="I101" s="6">
        <v>13.1</v>
      </c>
      <c r="J101" s="21">
        <v>0.5</v>
      </c>
      <c r="K101" s="113"/>
      <c r="L101" s="113"/>
    </row>
    <row r="102" spans="1:12" x14ac:dyDescent="0.3">
      <c r="A102" s="112"/>
      <c r="B102" s="19" t="s">
        <v>30</v>
      </c>
      <c r="C102" s="22">
        <v>2</v>
      </c>
      <c r="D102" s="22">
        <v>1</v>
      </c>
      <c r="E102" s="22">
        <v>1</v>
      </c>
      <c r="F102" s="12">
        <v>86</v>
      </c>
      <c r="G102" s="22" t="s">
        <v>71</v>
      </c>
      <c r="H102" s="22">
        <v>10.199999999999999</v>
      </c>
      <c r="I102" s="22">
        <v>9.5</v>
      </c>
      <c r="J102" s="21">
        <v>0.4494949494949495</v>
      </c>
      <c r="K102" s="113"/>
      <c r="L102" s="113"/>
    </row>
    <row r="103" spans="1:12" x14ac:dyDescent="0.3">
      <c r="A103" s="112"/>
      <c r="B103" s="5" t="s">
        <v>30</v>
      </c>
      <c r="C103" s="6">
        <v>2</v>
      </c>
      <c r="D103" s="6">
        <v>2</v>
      </c>
      <c r="E103" s="6">
        <v>0</v>
      </c>
      <c r="F103" s="6">
        <v>800</v>
      </c>
      <c r="G103" s="6" t="s">
        <v>71</v>
      </c>
      <c r="H103" s="6">
        <v>14.6</v>
      </c>
      <c r="I103" s="6">
        <v>6.5</v>
      </c>
      <c r="J103" s="21">
        <v>0.52631578947368418</v>
      </c>
      <c r="K103" s="113"/>
      <c r="L103" s="113"/>
    </row>
    <row r="104" spans="1:12" x14ac:dyDescent="0.3">
      <c r="A104" s="112" t="s">
        <v>72</v>
      </c>
      <c r="B104" s="19" t="s">
        <v>24</v>
      </c>
      <c r="C104" s="22">
        <v>1</v>
      </c>
      <c r="D104" s="22">
        <v>2</v>
      </c>
      <c r="E104" s="22">
        <v>1</v>
      </c>
      <c r="F104" s="22">
        <v>1374</v>
      </c>
      <c r="G104" s="22" t="s">
        <v>21</v>
      </c>
      <c r="H104" s="22">
        <v>10.9</v>
      </c>
      <c r="I104" s="22">
        <v>8.9</v>
      </c>
      <c r="J104" s="21">
        <v>0.5536723163841808</v>
      </c>
      <c r="K104" s="113">
        <f t="shared" ref="K104" si="32">AVERAGE(J104:J109)</f>
        <v>0.57491910299333659</v>
      </c>
      <c r="L104" s="113">
        <f t="shared" ref="L104" si="33">_xlfn.STDEV.P(J104:J109)</f>
        <v>4.3854021626365793E-2</v>
      </c>
    </row>
    <row r="105" spans="1:12" x14ac:dyDescent="0.3">
      <c r="A105" s="112"/>
      <c r="B105" s="19" t="s">
        <v>30</v>
      </c>
      <c r="C105" s="22">
        <v>1</v>
      </c>
      <c r="D105" s="22">
        <v>3</v>
      </c>
      <c r="E105" s="22">
        <v>2</v>
      </c>
      <c r="F105" s="22">
        <v>1760</v>
      </c>
      <c r="G105" s="22" t="s">
        <v>21</v>
      </c>
      <c r="H105" s="22">
        <v>12.7</v>
      </c>
      <c r="I105" s="22">
        <v>14.6</v>
      </c>
      <c r="J105" s="21">
        <v>0.56756756756756754</v>
      </c>
      <c r="K105" s="113"/>
      <c r="L105" s="113"/>
    </row>
    <row r="106" spans="1:12" x14ac:dyDescent="0.3">
      <c r="A106" s="112"/>
      <c r="B106" s="19" t="s">
        <v>30</v>
      </c>
      <c r="C106" s="22">
        <v>1</v>
      </c>
      <c r="D106" s="22">
        <v>3</v>
      </c>
      <c r="E106" s="22">
        <v>2</v>
      </c>
      <c r="F106" s="22">
        <v>1762</v>
      </c>
      <c r="G106" s="22" t="s">
        <v>21</v>
      </c>
      <c r="H106" s="22">
        <v>13.6</v>
      </c>
      <c r="I106" s="22">
        <v>16.100000000000001</v>
      </c>
      <c r="J106" s="21">
        <v>0.64782608695652177</v>
      </c>
      <c r="K106" s="113"/>
      <c r="L106" s="113"/>
    </row>
    <row r="107" spans="1:12" x14ac:dyDescent="0.3">
      <c r="A107" s="112"/>
      <c r="B107" s="19" t="s">
        <v>24</v>
      </c>
      <c r="C107" s="22">
        <v>2</v>
      </c>
      <c r="D107" s="22">
        <v>3</v>
      </c>
      <c r="E107" s="22">
        <v>1</v>
      </c>
      <c r="F107" s="22">
        <v>682</v>
      </c>
      <c r="G107" s="22" t="s">
        <v>21</v>
      </c>
      <c r="H107" s="22">
        <v>10.6</v>
      </c>
      <c r="I107" s="22">
        <v>7.7</v>
      </c>
      <c r="J107" s="21">
        <v>0.55102040816326525</v>
      </c>
      <c r="K107" s="113"/>
      <c r="L107" s="113"/>
    </row>
    <row r="108" spans="1:12" x14ac:dyDescent="0.3">
      <c r="A108" s="112"/>
      <c r="B108" s="19" t="s">
        <v>30</v>
      </c>
      <c r="C108" s="22">
        <v>2</v>
      </c>
      <c r="D108" s="22">
        <v>2</v>
      </c>
      <c r="E108" s="22">
        <v>2</v>
      </c>
      <c r="F108" s="22">
        <v>463</v>
      </c>
      <c r="G108" s="22" t="s">
        <v>21</v>
      </c>
      <c r="H108" s="22">
        <v>13.8</v>
      </c>
      <c r="I108" s="22">
        <v>12.8</v>
      </c>
      <c r="J108" s="21">
        <v>0.61440677966101698</v>
      </c>
      <c r="K108" s="113"/>
      <c r="L108" s="113"/>
    </row>
    <row r="109" spans="1:12" x14ac:dyDescent="0.3">
      <c r="A109" s="112"/>
      <c r="B109" s="19" t="s">
        <v>24</v>
      </c>
      <c r="C109" s="22">
        <v>2</v>
      </c>
      <c r="D109" s="22">
        <v>3</v>
      </c>
      <c r="E109" s="22">
        <v>1</v>
      </c>
      <c r="F109" s="22">
        <v>676</v>
      </c>
      <c r="G109" s="22" t="s">
        <v>21</v>
      </c>
      <c r="H109" s="22">
        <v>12.1</v>
      </c>
      <c r="I109" s="22">
        <v>7.7</v>
      </c>
      <c r="J109" s="21">
        <v>0.51502145922746778</v>
      </c>
      <c r="K109" s="113"/>
      <c r="L109" s="113"/>
    </row>
    <row r="110" spans="1:12" x14ac:dyDescent="0.3">
      <c r="A110" s="112" t="s">
        <v>73</v>
      </c>
      <c r="B110" s="19" t="s">
        <v>30</v>
      </c>
      <c r="C110" s="22">
        <v>1</v>
      </c>
      <c r="D110" s="22">
        <v>1</v>
      </c>
      <c r="E110" s="22">
        <v>2</v>
      </c>
      <c r="F110" s="22">
        <v>1325</v>
      </c>
      <c r="G110" s="22" t="s">
        <v>68</v>
      </c>
      <c r="H110" s="22">
        <v>28.2</v>
      </c>
      <c r="I110" s="22">
        <v>12</v>
      </c>
      <c r="J110" s="21">
        <v>0.39212007504690433</v>
      </c>
      <c r="K110" s="113">
        <f t="shared" ref="K110" si="34">AVERAGE(J110:J115)</f>
        <v>0.37705166042434746</v>
      </c>
      <c r="L110" s="113">
        <f t="shared" ref="L110" si="35">_xlfn.STDEV.P(J110:J115)</f>
        <v>2.4879104800421256E-2</v>
      </c>
    </row>
    <row r="111" spans="1:12" x14ac:dyDescent="0.3">
      <c r="A111" s="112"/>
      <c r="B111" s="19" t="s">
        <v>30</v>
      </c>
      <c r="C111" s="22">
        <v>1</v>
      </c>
      <c r="D111" s="22">
        <v>3</v>
      </c>
      <c r="E111" s="22">
        <v>1</v>
      </c>
      <c r="F111" s="22">
        <v>1722</v>
      </c>
      <c r="G111" s="22" t="s">
        <v>68</v>
      </c>
      <c r="H111" s="22">
        <v>17.100000000000001</v>
      </c>
      <c r="I111" s="22">
        <v>18.8</v>
      </c>
      <c r="J111" s="21">
        <v>0.35628742514970058</v>
      </c>
      <c r="K111" s="113"/>
      <c r="L111" s="113"/>
    </row>
    <row r="112" spans="1:12" x14ac:dyDescent="0.3">
      <c r="A112" s="112"/>
      <c r="B112" s="19" t="s">
        <v>30</v>
      </c>
      <c r="C112" s="22">
        <v>1</v>
      </c>
      <c r="D112" s="22">
        <v>3</v>
      </c>
      <c r="E112" s="22">
        <v>1</v>
      </c>
      <c r="F112" s="22">
        <v>1724</v>
      </c>
      <c r="G112" s="22" t="s">
        <v>68</v>
      </c>
      <c r="H112" s="22">
        <v>17.3</v>
      </c>
      <c r="I112" s="22">
        <v>17.399999999999999</v>
      </c>
      <c r="J112" s="21">
        <v>0.36792452830188677</v>
      </c>
      <c r="K112" s="113"/>
      <c r="L112" s="113"/>
    </row>
    <row r="113" spans="1:12" x14ac:dyDescent="0.3">
      <c r="A113" s="112"/>
      <c r="B113" s="19" t="s">
        <v>30</v>
      </c>
      <c r="C113" s="22">
        <v>1</v>
      </c>
      <c r="D113" s="22">
        <v>3</v>
      </c>
      <c r="E113" s="22">
        <v>1</v>
      </c>
      <c r="F113" s="22">
        <v>1730</v>
      </c>
      <c r="G113" s="22" t="s">
        <v>68</v>
      </c>
      <c r="H113" s="22">
        <v>18.3</v>
      </c>
      <c r="I113" s="22">
        <v>12.5</v>
      </c>
      <c r="J113" s="21">
        <v>0.34</v>
      </c>
      <c r="K113" s="113"/>
      <c r="L113" s="113"/>
    </row>
    <row r="114" spans="1:12" x14ac:dyDescent="0.3">
      <c r="A114" s="112"/>
      <c r="B114" s="19" t="s">
        <v>30</v>
      </c>
      <c r="C114" s="22">
        <v>1</v>
      </c>
      <c r="D114" s="22">
        <v>3</v>
      </c>
      <c r="E114" s="22">
        <v>2</v>
      </c>
      <c r="F114" s="22">
        <v>1750</v>
      </c>
      <c r="G114" s="22" t="s">
        <v>68</v>
      </c>
      <c r="H114" s="22">
        <v>12.6</v>
      </c>
      <c r="I114" s="22">
        <v>13</v>
      </c>
      <c r="J114" s="21">
        <v>0.39171974522292996</v>
      </c>
      <c r="K114" s="113"/>
      <c r="L114" s="113"/>
    </row>
    <row r="115" spans="1:12" x14ac:dyDescent="0.3">
      <c r="A115" s="112"/>
      <c r="B115" s="19" t="s">
        <v>30</v>
      </c>
      <c r="C115" s="22">
        <v>1</v>
      </c>
      <c r="D115" s="22">
        <v>2</v>
      </c>
      <c r="E115" s="22">
        <v>2</v>
      </c>
      <c r="F115" s="22">
        <v>4968</v>
      </c>
      <c r="G115" s="22" t="s">
        <v>68</v>
      </c>
      <c r="H115" s="22">
        <v>26.5</v>
      </c>
      <c r="I115" s="22">
        <v>16.3</v>
      </c>
      <c r="J115" s="21">
        <v>0.41425818882466281</v>
      </c>
      <c r="K115" s="113"/>
      <c r="L115" s="113"/>
    </row>
    <row r="116" spans="1:12" x14ac:dyDescent="0.3">
      <c r="A116" s="112" t="s">
        <v>74</v>
      </c>
      <c r="B116" s="19" t="s">
        <v>26</v>
      </c>
      <c r="C116" s="22">
        <v>1</v>
      </c>
      <c r="D116" s="22">
        <v>3</v>
      </c>
      <c r="E116" s="22">
        <v>2</v>
      </c>
      <c r="F116" s="22">
        <v>1216</v>
      </c>
      <c r="G116" s="22" t="s">
        <v>21</v>
      </c>
      <c r="H116" s="22">
        <v>26.2</v>
      </c>
      <c r="I116" s="22">
        <v>25.4</v>
      </c>
      <c r="J116" s="21">
        <v>0.71966527196652719</v>
      </c>
      <c r="K116" s="113">
        <f t="shared" ref="K116" si="36">AVERAGE(J116:J121)</f>
        <v>0.55787097362687987</v>
      </c>
      <c r="L116" s="113">
        <f t="shared" ref="L116" si="37">_xlfn.STDEV.P(J116:J121)</f>
        <v>7.612723591127224E-2</v>
      </c>
    </row>
    <row r="117" spans="1:12" x14ac:dyDescent="0.3">
      <c r="A117" s="112"/>
      <c r="B117" s="19" t="s">
        <v>59</v>
      </c>
      <c r="C117" s="22">
        <v>1</v>
      </c>
      <c r="D117" s="22">
        <v>1</v>
      </c>
      <c r="E117" s="22">
        <v>2</v>
      </c>
      <c r="F117" s="22">
        <v>1768</v>
      </c>
      <c r="G117" s="22" t="s">
        <v>21</v>
      </c>
      <c r="H117" s="22">
        <v>13.4</v>
      </c>
      <c r="I117" s="22">
        <v>9.1999999999999993</v>
      </c>
      <c r="J117" s="21">
        <v>0.52684563758389258</v>
      </c>
      <c r="K117" s="113"/>
      <c r="L117" s="113"/>
    </row>
    <row r="118" spans="1:12" x14ac:dyDescent="0.3">
      <c r="A118" s="112"/>
      <c r="B118" s="19" t="s">
        <v>38</v>
      </c>
      <c r="C118" s="22">
        <v>1</v>
      </c>
      <c r="D118" s="22">
        <v>2</v>
      </c>
      <c r="E118" s="22">
        <v>1</v>
      </c>
      <c r="F118" s="22">
        <v>1966</v>
      </c>
      <c r="G118" s="22" t="s">
        <v>21</v>
      </c>
      <c r="H118" s="22">
        <v>18.2</v>
      </c>
      <c r="I118" s="22">
        <v>15.5</v>
      </c>
      <c r="J118" s="21">
        <v>0.48806366047745359</v>
      </c>
      <c r="K118" s="113"/>
      <c r="L118" s="113"/>
    </row>
    <row r="119" spans="1:12" x14ac:dyDescent="0.3">
      <c r="A119" s="112"/>
      <c r="B119" s="19" t="s">
        <v>38</v>
      </c>
      <c r="C119" s="22">
        <v>1</v>
      </c>
      <c r="D119" s="22">
        <v>2</v>
      </c>
      <c r="E119" s="22">
        <v>1</v>
      </c>
      <c r="F119" s="22">
        <v>1968</v>
      </c>
      <c r="G119" s="22" t="s">
        <v>21</v>
      </c>
      <c r="H119" s="22">
        <v>13.7</v>
      </c>
      <c r="I119" s="22">
        <v>8.9</v>
      </c>
      <c r="J119" s="21">
        <v>0.50764525993883791</v>
      </c>
      <c r="K119" s="113"/>
      <c r="L119" s="113"/>
    </row>
    <row r="120" spans="1:12" x14ac:dyDescent="0.3">
      <c r="A120" s="112"/>
      <c r="B120" s="19" t="s">
        <v>38</v>
      </c>
      <c r="C120" s="22">
        <v>1</v>
      </c>
      <c r="D120" s="22">
        <v>2</v>
      </c>
      <c r="E120" s="22">
        <v>1</v>
      </c>
      <c r="F120" s="22">
        <v>1975</v>
      </c>
      <c r="G120" s="22" t="s">
        <v>21</v>
      </c>
      <c r="H120" s="22">
        <v>13.9</v>
      </c>
      <c r="I120" s="22">
        <v>12.3</v>
      </c>
      <c r="J120" s="21">
        <v>0.54304635761589404</v>
      </c>
      <c r="K120" s="113"/>
      <c r="L120" s="113"/>
    </row>
    <row r="121" spans="1:12" x14ac:dyDescent="0.3">
      <c r="A121" s="112"/>
      <c r="B121" s="19" t="s">
        <v>38</v>
      </c>
      <c r="C121" s="22">
        <v>1</v>
      </c>
      <c r="D121" s="22">
        <v>1</v>
      </c>
      <c r="E121" s="22">
        <v>1</v>
      </c>
      <c r="F121" s="22">
        <v>3269</v>
      </c>
      <c r="G121" s="22" t="s">
        <v>21</v>
      </c>
      <c r="H121" s="22">
        <v>17.7</v>
      </c>
      <c r="I121" s="22">
        <v>16.5</v>
      </c>
      <c r="J121" s="21">
        <v>0.56195965417867433</v>
      </c>
      <c r="K121" s="113"/>
      <c r="L121" s="113"/>
    </row>
    <row r="122" spans="1:12" x14ac:dyDescent="0.3">
      <c r="A122" s="112" t="s">
        <v>75</v>
      </c>
      <c r="B122" s="5" t="s">
        <v>26</v>
      </c>
      <c r="C122" s="6">
        <v>1</v>
      </c>
      <c r="D122" s="6">
        <v>3</v>
      </c>
      <c r="E122" s="6">
        <v>2</v>
      </c>
      <c r="F122" s="6">
        <v>1218</v>
      </c>
      <c r="G122" s="6" t="s">
        <v>21</v>
      </c>
      <c r="H122" s="6" t="s">
        <v>189</v>
      </c>
      <c r="I122" s="6">
        <v>10.6</v>
      </c>
      <c r="J122" s="21">
        <v>0.77419354838709675</v>
      </c>
      <c r="K122" s="113">
        <f t="shared" ref="K122" si="38">AVERAGE(J122:J127)</f>
        <v>0.75787595324052537</v>
      </c>
      <c r="L122" s="113">
        <f t="shared" ref="L122" si="39">_xlfn.STDEV.P(J122:J127)</f>
        <v>3.0204215211357688E-2</v>
      </c>
    </row>
    <row r="123" spans="1:12" x14ac:dyDescent="0.3">
      <c r="A123" s="112"/>
      <c r="B123" s="5" t="s">
        <v>26</v>
      </c>
      <c r="C123" s="6">
        <v>1</v>
      </c>
      <c r="D123" s="6">
        <v>2</v>
      </c>
      <c r="E123" s="6">
        <v>2</v>
      </c>
      <c r="F123" s="6">
        <v>1357</v>
      </c>
      <c r="G123" s="6" t="s">
        <v>21</v>
      </c>
      <c r="H123" s="6" t="s">
        <v>190</v>
      </c>
      <c r="I123" s="6">
        <v>10.6</v>
      </c>
      <c r="J123" s="21">
        <v>0.70508474576271185</v>
      </c>
      <c r="K123" s="113"/>
      <c r="L123" s="113"/>
    </row>
    <row r="124" spans="1:12" x14ac:dyDescent="0.3">
      <c r="A124" s="112"/>
      <c r="B124" s="19" t="s">
        <v>20</v>
      </c>
      <c r="C124" s="22">
        <v>1</v>
      </c>
      <c r="D124" s="22">
        <v>2</v>
      </c>
      <c r="E124" s="22">
        <v>1</v>
      </c>
      <c r="F124" s="22">
        <v>7445</v>
      </c>
      <c r="G124" s="22" t="s">
        <v>21</v>
      </c>
      <c r="H124" s="22">
        <v>10.8</v>
      </c>
      <c r="I124" s="22">
        <v>11.9</v>
      </c>
      <c r="J124" s="21">
        <v>0.79661016949152541</v>
      </c>
      <c r="K124" s="113"/>
      <c r="L124" s="113"/>
    </row>
    <row r="125" spans="1:12" x14ac:dyDescent="0.3">
      <c r="A125" s="112"/>
      <c r="B125" s="19" t="s">
        <v>30</v>
      </c>
      <c r="C125" s="22">
        <v>2</v>
      </c>
      <c r="D125" s="22">
        <v>1</v>
      </c>
      <c r="E125" s="22">
        <v>1</v>
      </c>
      <c r="F125" s="12">
        <v>76</v>
      </c>
      <c r="G125" s="22" t="s">
        <v>21</v>
      </c>
      <c r="H125" s="22">
        <v>21.3</v>
      </c>
      <c r="I125" s="22">
        <v>17.899999999999999</v>
      </c>
      <c r="J125" s="21">
        <v>0.75510204081632648</v>
      </c>
      <c r="K125" s="113"/>
      <c r="L125" s="113"/>
    </row>
    <row r="126" spans="1:12" x14ac:dyDescent="0.3">
      <c r="A126" s="112"/>
      <c r="B126" s="19" t="s">
        <v>26</v>
      </c>
      <c r="C126" s="22">
        <v>2</v>
      </c>
      <c r="D126" s="22">
        <v>1</v>
      </c>
      <c r="E126" s="22">
        <v>2</v>
      </c>
      <c r="F126" s="22">
        <v>196</v>
      </c>
      <c r="G126" s="22" t="s">
        <v>21</v>
      </c>
      <c r="H126" s="22">
        <v>11.9</v>
      </c>
      <c r="I126" s="22">
        <v>13.4</v>
      </c>
      <c r="J126" s="21">
        <v>0.75838926174496646</v>
      </c>
      <c r="K126" s="113"/>
      <c r="L126" s="113"/>
    </row>
    <row r="127" spans="1:12" x14ac:dyDescent="0.3">
      <c r="A127" s="112"/>
      <c r="B127" s="19" t="s">
        <v>44</v>
      </c>
      <c r="C127" s="22">
        <v>2</v>
      </c>
      <c r="D127" s="22">
        <v>2</v>
      </c>
      <c r="E127" s="22">
        <v>2</v>
      </c>
      <c r="F127" s="22">
        <v>384</v>
      </c>
      <c r="G127" s="22" t="s">
        <v>21</v>
      </c>
      <c r="H127" s="22" t="s">
        <v>191</v>
      </c>
      <c r="I127" s="22">
        <v>15.3</v>
      </c>
      <c r="J127" s="21"/>
      <c r="K127" s="113"/>
      <c r="L127" s="113"/>
    </row>
    <row r="128" spans="1:12" x14ac:dyDescent="0.3">
      <c r="A128" s="112" t="s">
        <v>76</v>
      </c>
      <c r="B128" s="19" t="s">
        <v>38</v>
      </c>
      <c r="C128" s="22">
        <v>2</v>
      </c>
      <c r="D128" s="22">
        <v>1</v>
      </c>
      <c r="E128" s="22">
        <v>1</v>
      </c>
      <c r="F128" s="22">
        <v>242</v>
      </c>
      <c r="G128" s="22" t="s">
        <v>21</v>
      </c>
      <c r="H128" s="22">
        <v>11</v>
      </c>
      <c r="I128" s="22">
        <v>9</v>
      </c>
      <c r="J128" s="21">
        <v>0.67080745341614911</v>
      </c>
      <c r="K128" s="113">
        <f t="shared" ref="K128" si="40">AVERAGE(J128:J133)</f>
        <v>0.72643248245062253</v>
      </c>
      <c r="L128" s="113">
        <f t="shared" ref="L128" si="41">_xlfn.STDEV.P(J128:J133)</f>
        <v>4.2266958871330036E-2</v>
      </c>
    </row>
    <row r="129" spans="1:12" x14ac:dyDescent="0.3">
      <c r="A129" s="112"/>
      <c r="B129" s="19" t="s">
        <v>38</v>
      </c>
      <c r="C129" s="22">
        <v>2</v>
      </c>
      <c r="D129" s="22">
        <v>1</v>
      </c>
      <c r="E129" s="22">
        <v>2</v>
      </c>
      <c r="F129" s="22">
        <v>254</v>
      </c>
      <c r="G129" s="22" t="s">
        <v>21</v>
      </c>
      <c r="H129" s="22">
        <v>11.5</v>
      </c>
      <c r="I129" s="22">
        <v>13.4</v>
      </c>
      <c r="J129" s="21">
        <v>0.73529411764705888</v>
      </c>
      <c r="K129" s="113"/>
      <c r="L129" s="113"/>
    </row>
    <row r="130" spans="1:12" x14ac:dyDescent="0.3">
      <c r="A130" s="112"/>
      <c r="B130" s="19" t="s">
        <v>24</v>
      </c>
      <c r="C130" s="22">
        <v>2</v>
      </c>
      <c r="D130" s="22">
        <v>3</v>
      </c>
      <c r="E130" s="22">
        <v>1</v>
      </c>
      <c r="F130" s="22">
        <v>677</v>
      </c>
      <c r="G130" s="22" t="s">
        <v>21</v>
      </c>
      <c r="H130" s="22">
        <v>10.5</v>
      </c>
      <c r="I130" s="22">
        <v>4.9000000000000004</v>
      </c>
      <c r="J130" s="21">
        <v>0.77319587628865982</v>
      </c>
      <c r="K130" s="113"/>
      <c r="L130" s="113"/>
    </row>
    <row r="131" spans="1:12" x14ac:dyDescent="0.3">
      <c r="A131" s="112"/>
      <c r="B131" s="7"/>
      <c r="C131" s="16"/>
      <c r="D131" s="16"/>
      <c r="E131" s="16"/>
      <c r="F131" s="16"/>
      <c r="G131" s="16"/>
      <c r="H131" s="21"/>
      <c r="I131" s="16"/>
      <c r="J131" s="21"/>
      <c r="K131" s="113"/>
      <c r="L131" s="113"/>
    </row>
    <row r="132" spans="1:12" x14ac:dyDescent="0.3">
      <c r="A132" s="112"/>
      <c r="B132" s="7"/>
      <c r="C132" s="16"/>
      <c r="D132" s="16"/>
      <c r="E132" s="16"/>
      <c r="F132" s="16"/>
      <c r="G132" s="16"/>
      <c r="H132" s="21"/>
      <c r="I132" s="16"/>
      <c r="J132" s="21"/>
      <c r="K132" s="113"/>
      <c r="L132" s="113"/>
    </row>
    <row r="133" spans="1:12" x14ac:dyDescent="0.3">
      <c r="A133" s="112"/>
      <c r="B133" s="7"/>
      <c r="C133" s="16"/>
      <c r="D133" s="16"/>
      <c r="E133" s="16"/>
      <c r="F133" s="16"/>
      <c r="G133" s="16"/>
      <c r="H133" s="21"/>
      <c r="I133" s="16"/>
      <c r="J133" s="21"/>
      <c r="K133" s="113"/>
      <c r="L133" s="113"/>
    </row>
    <row r="134" spans="1:12" x14ac:dyDescent="0.3">
      <c r="A134" s="112" t="s">
        <v>77</v>
      </c>
      <c r="B134" s="7" t="s">
        <v>30</v>
      </c>
      <c r="C134" s="16">
        <v>1</v>
      </c>
      <c r="D134" s="16">
        <v>1</v>
      </c>
      <c r="E134" s="16">
        <v>2</v>
      </c>
      <c r="F134" s="16">
        <v>1314</v>
      </c>
      <c r="G134" s="16" t="s">
        <v>21</v>
      </c>
      <c r="H134" s="21">
        <v>16.5</v>
      </c>
      <c r="I134" s="16">
        <v>15.3</v>
      </c>
      <c r="J134" s="16">
        <v>0.75735244099999999</v>
      </c>
      <c r="K134" s="113">
        <f t="shared" ref="K134:K188" si="42">AVERAGE(J134:J139)</f>
        <v>0.70438127483333324</v>
      </c>
      <c r="L134" s="113">
        <f t="shared" ref="L134" si="43">_xlfn.STDEV.P(J134:J139)</f>
        <v>3.5976443109467633E-2</v>
      </c>
    </row>
    <row r="135" spans="1:12" x14ac:dyDescent="0.3">
      <c r="A135" s="112"/>
      <c r="B135" s="7" t="s">
        <v>30</v>
      </c>
      <c r="C135" s="16">
        <v>1</v>
      </c>
      <c r="D135" s="16">
        <v>1</v>
      </c>
      <c r="E135" s="16">
        <v>1</v>
      </c>
      <c r="F135" s="16">
        <v>1306</v>
      </c>
      <c r="G135" s="16" t="s">
        <v>21</v>
      </c>
      <c r="H135" s="21">
        <v>24.6</v>
      </c>
      <c r="I135" s="16">
        <v>17.5</v>
      </c>
      <c r="J135" s="16">
        <v>0.65525423699999996</v>
      </c>
      <c r="K135" s="113"/>
      <c r="L135" s="113"/>
    </row>
    <row r="136" spans="1:12" x14ac:dyDescent="0.3">
      <c r="A136" s="112"/>
      <c r="B136" s="7" t="s">
        <v>20</v>
      </c>
      <c r="C136" s="16">
        <v>1</v>
      </c>
      <c r="D136" s="16">
        <v>2</v>
      </c>
      <c r="E136" s="16">
        <v>2</v>
      </c>
      <c r="F136" s="16">
        <v>7469</v>
      </c>
      <c r="G136" s="16" t="s">
        <v>21</v>
      </c>
      <c r="H136" s="21">
        <v>28.6</v>
      </c>
      <c r="I136" s="16">
        <v>20.2</v>
      </c>
      <c r="J136" s="16">
        <v>0.74020527800000002</v>
      </c>
      <c r="K136" s="113"/>
      <c r="L136" s="113"/>
    </row>
    <row r="137" spans="1:12" x14ac:dyDescent="0.3">
      <c r="A137" s="112"/>
      <c r="B137" s="7" t="s">
        <v>26</v>
      </c>
      <c r="C137" s="16">
        <v>2</v>
      </c>
      <c r="D137" s="16">
        <v>3</v>
      </c>
      <c r="E137" s="16">
        <v>1</v>
      </c>
      <c r="F137" s="16">
        <v>651</v>
      </c>
      <c r="G137" s="16" t="s">
        <v>21</v>
      </c>
      <c r="H137" s="21">
        <v>11.8</v>
      </c>
      <c r="I137" s="16">
        <v>9.5</v>
      </c>
      <c r="J137" s="16">
        <v>0.70946454000000003</v>
      </c>
      <c r="K137" s="113"/>
      <c r="L137" s="113"/>
    </row>
    <row r="138" spans="1:12" x14ac:dyDescent="0.3">
      <c r="A138" s="112"/>
      <c r="B138" s="7" t="s">
        <v>20</v>
      </c>
      <c r="C138" s="16">
        <v>2</v>
      </c>
      <c r="D138" s="16">
        <v>3</v>
      </c>
      <c r="E138" s="16">
        <v>1</v>
      </c>
      <c r="F138" s="16">
        <v>714</v>
      </c>
      <c r="G138" s="16" t="s">
        <v>21</v>
      </c>
      <c r="H138" s="21">
        <v>32.700000000000003</v>
      </c>
      <c r="I138" s="16">
        <v>11.9</v>
      </c>
      <c r="J138" s="16">
        <v>0.67114569800000001</v>
      </c>
      <c r="K138" s="113"/>
      <c r="L138" s="113"/>
    </row>
    <row r="139" spans="1:12" x14ac:dyDescent="0.3">
      <c r="A139" s="112"/>
      <c r="B139" s="7" t="s">
        <v>44</v>
      </c>
      <c r="C139" s="16">
        <v>2</v>
      </c>
      <c r="D139" s="16">
        <v>2</v>
      </c>
      <c r="E139" s="16">
        <v>1</v>
      </c>
      <c r="F139" s="16">
        <v>359</v>
      </c>
      <c r="G139" s="16" t="s">
        <v>21</v>
      </c>
      <c r="H139" s="21">
        <v>38.6</v>
      </c>
      <c r="I139" s="16">
        <v>19.8</v>
      </c>
      <c r="J139" s="16">
        <v>0.69286545499999996</v>
      </c>
      <c r="K139" s="113"/>
      <c r="L139" s="113"/>
    </row>
    <row r="140" spans="1:12" x14ac:dyDescent="0.3">
      <c r="A140" s="112" t="s">
        <v>78</v>
      </c>
      <c r="B140" s="13" t="s">
        <v>38</v>
      </c>
      <c r="C140" s="23">
        <v>1</v>
      </c>
      <c r="D140" s="23">
        <v>1</v>
      </c>
      <c r="E140" s="23"/>
      <c r="F140" s="23">
        <v>337</v>
      </c>
      <c r="G140" s="14" t="s">
        <v>21</v>
      </c>
      <c r="H140" s="24"/>
      <c r="I140" s="23"/>
      <c r="J140" s="16">
        <v>0.34851888800000003</v>
      </c>
      <c r="K140" s="113">
        <f t="shared" si="42"/>
        <v>0.38722309860000004</v>
      </c>
      <c r="L140" s="113">
        <f t="shared" ref="L140" si="44">_xlfn.STDEV.P(J140:J145)</f>
        <v>3.4141587782750227E-2</v>
      </c>
    </row>
    <row r="141" spans="1:12" x14ac:dyDescent="0.3">
      <c r="A141" s="112"/>
      <c r="B141" s="13" t="s">
        <v>30</v>
      </c>
      <c r="C141" s="23">
        <v>1</v>
      </c>
      <c r="D141" s="23">
        <v>1</v>
      </c>
      <c r="E141" s="23"/>
      <c r="F141" s="23">
        <v>192</v>
      </c>
      <c r="G141" s="14" t="s">
        <v>21</v>
      </c>
      <c r="H141" s="24"/>
      <c r="I141" s="23"/>
      <c r="J141" s="16">
        <v>0.39513025550000003</v>
      </c>
      <c r="K141" s="113"/>
      <c r="L141" s="113"/>
    </row>
    <row r="142" spans="1:12" x14ac:dyDescent="0.3">
      <c r="A142" s="112"/>
      <c r="B142" s="13" t="s">
        <v>30</v>
      </c>
      <c r="C142" s="23">
        <v>1</v>
      </c>
      <c r="D142" s="23">
        <v>1</v>
      </c>
      <c r="E142" s="23"/>
      <c r="F142" s="23">
        <v>217</v>
      </c>
      <c r="G142" s="14" t="s">
        <v>21</v>
      </c>
      <c r="H142" s="24"/>
      <c r="I142" s="23"/>
      <c r="J142" s="16">
        <v>0.36545761399999999</v>
      </c>
      <c r="K142" s="113"/>
      <c r="L142" s="113"/>
    </row>
    <row r="143" spans="1:12" x14ac:dyDescent="0.3">
      <c r="A143" s="112"/>
      <c r="B143" s="19" t="s">
        <v>38</v>
      </c>
      <c r="C143" s="22">
        <v>2</v>
      </c>
      <c r="D143" s="22">
        <v>3</v>
      </c>
      <c r="E143" s="22">
        <v>1</v>
      </c>
      <c r="F143" s="22">
        <v>615</v>
      </c>
      <c r="G143" s="22" t="s">
        <v>21</v>
      </c>
      <c r="H143" s="21">
        <v>35</v>
      </c>
      <c r="I143" s="16">
        <v>16.600000000000001</v>
      </c>
      <c r="J143" s="16">
        <v>0.44823586999999998</v>
      </c>
      <c r="K143" s="113"/>
      <c r="L143" s="113"/>
    </row>
    <row r="144" spans="1:12" x14ac:dyDescent="0.3">
      <c r="A144" s="112"/>
      <c r="B144" s="13" t="s">
        <v>38</v>
      </c>
      <c r="C144" s="23">
        <v>2</v>
      </c>
      <c r="D144" s="23">
        <v>3</v>
      </c>
      <c r="E144" s="23"/>
      <c r="F144" s="23">
        <v>353</v>
      </c>
      <c r="G144" s="14" t="s">
        <v>21</v>
      </c>
      <c r="H144" s="24"/>
      <c r="I144" s="23"/>
      <c r="J144" s="16">
        <v>0.3787728655</v>
      </c>
      <c r="K144" s="113"/>
      <c r="L144" s="113"/>
    </row>
    <row r="145" spans="1:12" x14ac:dyDescent="0.3">
      <c r="A145" s="112"/>
      <c r="B145" s="7"/>
      <c r="C145" s="16"/>
      <c r="D145" s="16"/>
      <c r="E145" s="16"/>
      <c r="F145" s="16"/>
      <c r="G145" s="16"/>
      <c r="H145" s="21"/>
      <c r="I145" s="16"/>
      <c r="J145" s="16"/>
      <c r="K145" s="113"/>
      <c r="L145" s="113"/>
    </row>
    <row r="146" spans="1:12" x14ac:dyDescent="0.3">
      <c r="A146" s="112" t="s">
        <v>79</v>
      </c>
      <c r="B146" s="7" t="s">
        <v>24</v>
      </c>
      <c r="C146" s="16">
        <v>1</v>
      </c>
      <c r="D146" s="16">
        <v>1</v>
      </c>
      <c r="E146" s="16">
        <v>1</v>
      </c>
      <c r="F146" s="16">
        <v>1672</v>
      </c>
      <c r="G146" s="16" t="s">
        <v>21</v>
      </c>
      <c r="H146" s="21">
        <v>12.4</v>
      </c>
      <c r="I146" s="16">
        <v>11.2</v>
      </c>
      <c r="J146" s="16">
        <v>0.77426842799999995</v>
      </c>
      <c r="K146" s="113">
        <f t="shared" si="42"/>
        <v>0.75608516260233338</v>
      </c>
      <c r="L146" s="113">
        <f t="shared" ref="L146" si="45">_xlfn.STDEV.P(J146:J151)</f>
        <v>1.3149053942993245E-2</v>
      </c>
    </row>
    <row r="147" spans="1:12" x14ac:dyDescent="0.3">
      <c r="A147" s="112"/>
      <c r="B147" s="7" t="s">
        <v>26</v>
      </c>
      <c r="C147" s="16">
        <v>1</v>
      </c>
      <c r="D147" s="16">
        <v>3</v>
      </c>
      <c r="E147" s="16">
        <v>1</v>
      </c>
      <c r="F147" s="16">
        <v>1203</v>
      </c>
      <c r="G147" s="16" t="s">
        <v>21</v>
      </c>
      <c r="H147" s="21">
        <v>16.399999999999999</v>
      </c>
      <c r="I147" s="16">
        <v>15.3</v>
      </c>
      <c r="J147" s="16">
        <v>0.747475</v>
      </c>
      <c r="K147" s="113"/>
      <c r="L147" s="113"/>
    </row>
    <row r="148" spans="1:12" x14ac:dyDescent="0.3">
      <c r="A148" s="112"/>
      <c r="B148" s="7" t="s">
        <v>20</v>
      </c>
      <c r="C148" s="16">
        <v>1</v>
      </c>
      <c r="D148" s="16">
        <v>2</v>
      </c>
      <c r="E148" s="16">
        <v>2</v>
      </c>
      <c r="F148" s="16">
        <v>7465</v>
      </c>
      <c r="G148" s="16" t="s">
        <v>21</v>
      </c>
      <c r="H148" s="21">
        <v>28.1</v>
      </c>
      <c r="I148" s="16">
        <v>13.1</v>
      </c>
      <c r="J148" s="16">
        <v>0.75615252483599993</v>
      </c>
      <c r="K148" s="113"/>
      <c r="L148" s="113"/>
    </row>
    <row r="149" spans="1:12" x14ac:dyDescent="0.3">
      <c r="A149" s="112"/>
      <c r="B149" s="7" t="s">
        <v>30</v>
      </c>
      <c r="C149" s="16">
        <v>2</v>
      </c>
      <c r="D149" s="16">
        <v>1</v>
      </c>
      <c r="E149" s="16">
        <v>2</v>
      </c>
      <c r="F149" s="16">
        <v>98</v>
      </c>
      <c r="G149" s="16" t="s">
        <v>21</v>
      </c>
      <c r="H149" s="21">
        <v>11.8</v>
      </c>
      <c r="I149" s="16">
        <v>16.5</v>
      </c>
      <c r="J149" s="16">
        <v>0.74150346499999997</v>
      </c>
      <c r="K149" s="113"/>
      <c r="L149" s="113"/>
    </row>
    <row r="150" spans="1:12" x14ac:dyDescent="0.3">
      <c r="A150" s="112"/>
      <c r="B150" s="7" t="s">
        <v>26</v>
      </c>
      <c r="C150" s="16">
        <v>2</v>
      </c>
      <c r="D150" s="16">
        <v>3</v>
      </c>
      <c r="E150" s="16">
        <v>2</v>
      </c>
      <c r="F150" s="16">
        <v>668</v>
      </c>
      <c r="G150" s="16" t="s">
        <v>21</v>
      </c>
      <c r="H150" s="21">
        <v>13.9</v>
      </c>
      <c r="I150" s="16">
        <v>8.5</v>
      </c>
      <c r="J150" s="16">
        <v>0.77283480800000004</v>
      </c>
      <c r="K150" s="113"/>
      <c r="L150" s="113"/>
    </row>
    <row r="151" spans="1:12" x14ac:dyDescent="0.3">
      <c r="A151" s="112"/>
      <c r="B151" s="7" t="s">
        <v>20</v>
      </c>
      <c r="C151" s="16">
        <v>2</v>
      </c>
      <c r="D151" s="16">
        <v>3</v>
      </c>
      <c r="E151" s="16">
        <v>2</v>
      </c>
      <c r="F151" s="16">
        <v>722</v>
      </c>
      <c r="G151" s="16" t="s">
        <v>21</v>
      </c>
      <c r="H151" s="21">
        <v>21.2</v>
      </c>
      <c r="I151" s="16">
        <v>14.9</v>
      </c>
      <c r="J151" s="16">
        <v>0.74427674977799996</v>
      </c>
      <c r="K151" s="113"/>
      <c r="L151" s="113"/>
    </row>
    <row r="152" spans="1:12" x14ac:dyDescent="0.3">
      <c r="A152" s="112" t="s">
        <v>80</v>
      </c>
      <c r="B152" s="7" t="s">
        <v>30</v>
      </c>
      <c r="C152" s="16">
        <v>1</v>
      </c>
      <c r="D152" s="16">
        <v>3</v>
      </c>
      <c r="E152" s="16">
        <v>1</v>
      </c>
      <c r="F152" s="16">
        <v>1725</v>
      </c>
      <c r="G152" s="16" t="s">
        <v>21</v>
      </c>
      <c r="H152" s="21">
        <v>12.7</v>
      </c>
      <c r="I152" s="7">
        <v>12.6</v>
      </c>
      <c r="J152" s="16">
        <v>0.70464479867099994</v>
      </c>
      <c r="K152" s="113">
        <f>AVERAGE(J152:J157)</f>
        <v>0.68182292798749999</v>
      </c>
      <c r="L152" s="113">
        <f>_xlfn.STDEV.P(J152:J157)</f>
        <v>5.7960577139756282E-2</v>
      </c>
    </row>
    <row r="153" spans="1:12" x14ac:dyDescent="0.3">
      <c r="A153" s="112"/>
      <c r="B153" s="7" t="s">
        <v>20</v>
      </c>
      <c r="C153" s="16">
        <v>1</v>
      </c>
      <c r="D153" s="16">
        <v>2</v>
      </c>
      <c r="E153" s="16">
        <v>2</v>
      </c>
      <c r="F153" s="16">
        <v>7464</v>
      </c>
      <c r="G153" s="16" t="s">
        <v>21</v>
      </c>
      <c r="H153" s="21">
        <v>36</v>
      </c>
      <c r="I153" s="7">
        <v>19.399999999999999</v>
      </c>
      <c r="J153" s="16">
        <v>0.69239288301599988</v>
      </c>
      <c r="K153" s="113"/>
      <c r="L153" s="113"/>
    </row>
    <row r="154" spans="1:12" x14ac:dyDescent="0.3">
      <c r="A154" s="112"/>
      <c r="B154" s="7" t="s">
        <v>20</v>
      </c>
      <c r="C154" s="16">
        <v>1</v>
      </c>
      <c r="D154" s="16">
        <v>3</v>
      </c>
      <c r="E154" s="16">
        <v>1</v>
      </c>
      <c r="F154" s="16">
        <v>3236</v>
      </c>
      <c r="G154" s="16" t="s">
        <v>21</v>
      </c>
      <c r="H154" s="21">
        <v>22.6</v>
      </c>
      <c r="I154" s="7">
        <v>22.5</v>
      </c>
      <c r="J154" s="16">
        <v>0.69081379869600001</v>
      </c>
      <c r="K154" s="113"/>
      <c r="L154" s="113"/>
    </row>
    <row r="155" spans="1:12" x14ac:dyDescent="0.3">
      <c r="A155" s="112"/>
      <c r="B155" s="7" t="s">
        <v>30</v>
      </c>
      <c r="C155" s="16">
        <v>2</v>
      </c>
      <c r="D155" s="16">
        <v>1</v>
      </c>
      <c r="E155" s="16">
        <v>1</v>
      </c>
      <c r="F155" s="16">
        <v>77</v>
      </c>
      <c r="G155" s="16" t="s">
        <v>21</v>
      </c>
      <c r="H155" s="21">
        <v>33.200000000000003</v>
      </c>
      <c r="I155" s="7">
        <v>22.3</v>
      </c>
      <c r="J155" s="16">
        <v>0.77910847955999996</v>
      </c>
      <c r="K155" s="113"/>
      <c r="L155" s="113"/>
    </row>
    <row r="156" spans="1:12" x14ac:dyDescent="0.3">
      <c r="A156" s="112"/>
      <c r="B156" s="7" t="s">
        <v>30</v>
      </c>
      <c r="C156" s="16">
        <v>2</v>
      </c>
      <c r="D156" s="16">
        <v>2</v>
      </c>
      <c r="E156" s="16">
        <v>1</v>
      </c>
      <c r="F156" s="16">
        <v>441</v>
      </c>
      <c r="G156" s="16" t="s">
        <v>21</v>
      </c>
      <c r="H156" s="21">
        <v>28.3</v>
      </c>
      <c r="I156" s="16">
        <v>21</v>
      </c>
      <c r="J156" s="16">
        <v>0.601380193482</v>
      </c>
      <c r="K156" s="113"/>
      <c r="L156" s="113"/>
    </row>
    <row r="157" spans="1:12" x14ac:dyDescent="0.3">
      <c r="A157" s="112"/>
      <c r="B157" s="7" t="s">
        <v>44</v>
      </c>
      <c r="C157" s="16">
        <v>2</v>
      </c>
      <c r="D157" s="16">
        <v>3</v>
      </c>
      <c r="E157" s="16">
        <v>1</v>
      </c>
      <c r="F157" s="16">
        <v>701</v>
      </c>
      <c r="G157" s="16" t="s">
        <v>21</v>
      </c>
      <c r="H157" s="21">
        <v>17.600000000000001</v>
      </c>
      <c r="I157" s="16">
        <v>20.6</v>
      </c>
      <c r="J157" s="16">
        <v>0.62259741449999995</v>
      </c>
      <c r="K157" s="113"/>
      <c r="L157" s="113"/>
    </row>
    <row r="158" spans="1:12" x14ac:dyDescent="0.3">
      <c r="A158" s="112" t="s">
        <v>81</v>
      </c>
      <c r="B158" s="17" t="s">
        <v>30</v>
      </c>
      <c r="C158" s="16">
        <v>1</v>
      </c>
      <c r="D158" s="16">
        <v>3</v>
      </c>
      <c r="E158" s="16">
        <v>1</v>
      </c>
      <c r="F158" s="16">
        <v>1727</v>
      </c>
      <c r="G158" s="16" t="s">
        <v>21</v>
      </c>
      <c r="H158" s="16">
        <v>35.700000000000003</v>
      </c>
      <c r="I158" s="16">
        <v>18.5</v>
      </c>
      <c r="J158" s="16">
        <v>0.655456186</v>
      </c>
      <c r="K158" s="113">
        <f t="shared" si="42"/>
        <v>0.6418496588</v>
      </c>
      <c r="L158" s="113">
        <f t="shared" ref="L158" si="46">_xlfn.STDEV.P(J158:J163)</f>
        <v>6.1389829960774009E-2</v>
      </c>
    </row>
    <row r="159" spans="1:12" x14ac:dyDescent="0.3">
      <c r="A159" s="112"/>
      <c r="B159" s="17" t="s">
        <v>26</v>
      </c>
      <c r="C159" s="16">
        <v>1</v>
      </c>
      <c r="D159" s="16">
        <v>1</v>
      </c>
      <c r="E159" s="16">
        <v>2</v>
      </c>
      <c r="F159" s="16">
        <v>1643</v>
      </c>
      <c r="G159" s="16" t="s">
        <v>21</v>
      </c>
      <c r="H159" s="16">
        <v>11.8</v>
      </c>
      <c r="I159" s="16">
        <v>13</v>
      </c>
      <c r="J159" s="16">
        <v>0.74557338574999998</v>
      </c>
      <c r="K159" s="113"/>
      <c r="L159" s="113"/>
    </row>
    <row r="160" spans="1:12" x14ac:dyDescent="0.3">
      <c r="A160" s="112"/>
      <c r="B160" s="13" t="s">
        <v>59</v>
      </c>
      <c r="C160" s="23">
        <v>2</v>
      </c>
      <c r="D160" s="23">
        <v>1</v>
      </c>
      <c r="E160" s="23"/>
      <c r="F160" s="23">
        <v>248</v>
      </c>
      <c r="G160" s="23" t="s">
        <v>21</v>
      </c>
      <c r="H160" s="24"/>
      <c r="I160" s="23"/>
      <c r="J160" s="16">
        <v>0.55602062475000003</v>
      </c>
      <c r="K160" s="113"/>
      <c r="L160" s="113"/>
    </row>
    <row r="161" spans="1:12" x14ac:dyDescent="0.3">
      <c r="A161" s="112"/>
      <c r="B161" s="7" t="s">
        <v>26</v>
      </c>
      <c r="C161" s="16">
        <v>2</v>
      </c>
      <c r="D161" s="16">
        <v>2</v>
      </c>
      <c r="E161" s="16">
        <v>2</v>
      </c>
      <c r="F161" s="16">
        <v>505</v>
      </c>
      <c r="G161" s="16" t="s">
        <v>21</v>
      </c>
      <c r="H161" s="21">
        <v>13.5</v>
      </c>
      <c r="I161" s="16">
        <v>10</v>
      </c>
      <c r="J161" s="16">
        <v>0.62179669599999998</v>
      </c>
      <c r="K161" s="113"/>
      <c r="L161" s="113"/>
    </row>
    <row r="162" spans="1:12" x14ac:dyDescent="0.3">
      <c r="A162" s="112"/>
      <c r="B162" s="7" t="s">
        <v>30</v>
      </c>
      <c r="C162" s="16">
        <v>2</v>
      </c>
      <c r="D162" s="16">
        <v>3</v>
      </c>
      <c r="E162" s="16">
        <v>2</v>
      </c>
      <c r="F162" s="16">
        <v>599</v>
      </c>
      <c r="G162" s="16" t="s">
        <v>21</v>
      </c>
      <c r="H162" s="21" t="s">
        <v>192</v>
      </c>
      <c r="I162" s="16">
        <v>13.7</v>
      </c>
      <c r="J162" s="16">
        <v>0.63040140150000001</v>
      </c>
      <c r="K162" s="113"/>
      <c r="L162" s="113"/>
    </row>
    <row r="163" spans="1:12" x14ac:dyDescent="0.3">
      <c r="A163" s="112"/>
      <c r="B163" s="7"/>
      <c r="C163" s="16"/>
      <c r="D163" s="16"/>
      <c r="E163" s="16"/>
      <c r="F163" s="16"/>
      <c r="G163" s="16"/>
      <c r="H163" s="21"/>
      <c r="I163" s="16"/>
      <c r="J163" s="16"/>
      <c r="K163" s="113"/>
      <c r="L163" s="113"/>
    </row>
    <row r="164" spans="1:12" x14ac:dyDescent="0.3">
      <c r="A164" s="112" t="s">
        <v>82</v>
      </c>
      <c r="B164" s="7" t="s">
        <v>20</v>
      </c>
      <c r="C164" s="16">
        <v>1</v>
      </c>
      <c r="D164" s="16">
        <v>1</v>
      </c>
      <c r="E164" s="16">
        <v>2</v>
      </c>
      <c r="F164" s="16">
        <v>2012</v>
      </c>
      <c r="G164" s="16" t="s">
        <v>21</v>
      </c>
      <c r="H164" s="21">
        <v>10.4</v>
      </c>
      <c r="I164" s="16">
        <v>8.9</v>
      </c>
      <c r="J164" s="16">
        <v>0.323709941</v>
      </c>
      <c r="K164" s="113">
        <f t="shared" si="42"/>
        <v>0.32683560149999996</v>
      </c>
      <c r="L164" s="113">
        <f t="shared" ref="L164" si="47">_xlfn.STDEV.P(J164:J169)</f>
        <v>2.4572477003824846E-2</v>
      </c>
    </row>
    <row r="165" spans="1:12" x14ac:dyDescent="0.3">
      <c r="A165" s="112"/>
      <c r="B165" s="7" t="s">
        <v>24</v>
      </c>
      <c r="C165" s="16">
        <v>1</v>
      </c>
      <c r="D165" s="16">
        <v>3</v>
      </c>
      <c r="E165" s="16">
        <v>2</v>
      </c>
      <c r="F165" s="16">
        <v>1269</v>
      </c>
      <c r="G165" s="16" t="s">
        <v>21</v>
      </c>
      <c r="H165" s="21">
        <v>18.8</v>
      </c>
      <c r="I165" s="16">
        <v>10.3</v>
      </c>
      <c r="J165" s="16">
        <v>0.325017326</v>
      </c>
      <c r="K165" s="113"/>
      <c r="L165" s="113"/>
    </row>
    <row r="166" spans="1:12" x14ac:dyDescent="0.3">
      <c r="A166" s="112"/>
      <c r="B166" s="7" t="s">
        <v>24</v>
      </c>
      <c r="C166" s="16">
        <v>1</v>
      </c>
      <c r="D166" s="16">
        <v>1</v>
      </c>
      <c r="E166" s="16">
        <v>2</v>
      </c>
      <c r="F166" s="16">
        <v>1695</v>
      </c>
      <c r="G166" s="16" t="s">
        <v>21</v>
      </c>
      <c r="H166" s="21">
        <v>25.8</v>
      </c>
      <c r="I166" s="16">
        <v>16</v>
      </c>
      <c r="J166" s="16">
        <v>0.347065495</v>
      </c>
      <c r="K166" s="113"/>
      <c r="L166" s="113"/>
    </row>
    <row r="167" spans="1:12" x14ac:dyDescent="0.3">
      <c r="A167" s="112"/>
      <c r="B167" s="7" t="s">
        <v>26</v>
      </c>
      <c r="C167" s="16">
        <v>2</v>
      </c>
      <c r="D167" s="16">
        <v>2</v>
      </c>
      <c r="E167" s="16">
        <v>1</v>
      </c>
      <c r="F167" s="16">
        <v>492</v>
      </c>
      <c r="G167" s="16" t="s">
        <v>21</v>
      </c>
      <c r="H167" s="21">
        <v>14.5</v>
      </c>
      <c r="I167" s="16">
        <v>8.3000000000000007</v>
      </c>
      <c r="J167" s="16">
        <v>0.28791350799999998</v>
      </c>
      <c r="K167" s="113"/>
      <c r="L167" s="113"/>
    </row>
    <row r="168" spans="1:12" x14ac:dyDescent="0.3">
      <c r="A168" s="112"/>
      <c r="B168" s="7" t="s">
        <v>20</v>
      </c>
      <c r="C168" s="16">
        <v>2</v>
      </c>
      <c r="D168" s="16">
        <v>2</v>
      </c>
      <c r="E168" s="16">
        <v>2</v>
      </c>
      <c r="F168" s="16">
        <v>332</v>
      </c>
      <c r="G168" s="16" t="s">
        <v>21</v>
      </c>
      <c r="H168" s="21">
        <v>25.2</v>
      </c>
      <c r="I168" s="16">
        <v>10.4</v>
      </c>
      <c r="J168" s="16">
        <v>0.31213714199999998</v>
      </c>
      <c r="K168" s="113"/>
      <c r="L168" s="113"/>
    </row>
    <row r="169" spans="1:12" x14ac:dyDescent="0.3">
      <c r="A169" s="112"/>
      <c r="B169" s="7" t="s">
        <v>20</v>
      </c>
      <c r="C169" s="16">
        <v>2</v>
      </c>
      <c r="D169" s="16">
        <v>3</v>
      </c>
      <c r="E169" s="16">
        <v>1</v>
      </c>
      <c r="F169" s="16">
        <v>715</v>
      </c>
      <c r="G169" s="16" t="s">
        <v>21</v>
      </c>
      <c r="H169" s="21">
        <v>26.2</v>
      </c>
      <c r="I169" s="16">
        <v>9.4</v>
      </c>
      <c r="J169" s="16">
        <v>0.36517019699999997</v>
      </c>
      <c r="K169" s="113"/>
      <c r="L169" s="113"/>
    </row>
    <row r="170" spans="1:12" x14ac:dyDescent="0.3">
      <c r="A170" s="112" t="s">
        <v>83</v>
      </c>
      <c r="B170" s="13" t="s">
        <v>30</v>
      </c>
      <c r="C170" s="23">
        <v>2</v>
      </c>
      <c r="D170" s="23">
        <v>1</v>
      </c>
      <c r="E170" s="23"/>
      <c r="F170" s="23">
        <v>496</v>
      </c>
      <c r="G170" s="23" t="s">
        <v>84</v>
      </c>
      <c r="H170" s="24"/>
      <c r="I170" s="23"/>
      <c r="J170" s="16">
        <v>0.70277513399999991</v>
      </c>
      <c r="K170" s="113">
        <f t="shared" si="42"/>
        <v>0.66999967441666675</v>
      </c>
      <c r="L170" s="113">
        <f t="shared" ref="L170" si="48">_xlfn.STDEV.P(J170:J175)</f>
        <v>3.8801690504422635E-2</v>
      </c>
    </row>
    <row r="171" spans="1:12" x14ac:dyDescent="0.3">
      <c r="A171" s="112"/>
      <c r="B171" s="7" t="s">
        <v>30</v>
      </c>
      <c r="C171" s="16">
        <v>1</v>
      </c>
      <c r="D171" s="16">
        <v>2</v>
      </c>
      <c r="E171" s="16">
        <v>1</v>
      </c>
      <c r="F171" s="16">
        <v>4964</v>
      </c>
      <c r="G171" s="16" t="s">
        <v>84</v>
      </c>
      <c r="H171" s="21" t="s">
        <v>193</v>
      </c>
      <c r="I171" s="16">
        <v>9.6</v>
      </c>
      <c r="J171" s="16">
        <v>0.67274608633333344</v>
      </c>
      <c r="K171" s="113"/>
      <c r="L171" s="113"/>
    </row>
    <row r="172" spans="1:12" x14ac:dyDescent="0.3">
      <c r="A172" s="112"/>
      <c r="B172" s="7" t="s">
        <v>30</v>
      </c>
      <c r="C172" s="16">
        <v>1</v>
      </c>
      <c r="D172" s="16">
        <v>2</v>
      </c>
      <c r="E172" s="16">
        <v>2</v>
      </c>
      <c r="F172" s="16">
        <v>4974</v>
      </c>
      <c r="G172" s="16" t="s">
        <v>84</v>
      </c>
      <c r="H172" s="21" t="s">
        <v>194</v>
      </c>
      <c r="I172" s="16">
        <v>12.3</v>
      </c>
      <c r="J172" s="16">
        <v>0.68866875125000004</v>
      </c>
      <c r="K172" s="113"/>
      <c r="L172" s="113"/>
    </row>
    <row r="173" spans="1:12" x14ac:dyDescent="0.3">
      <c r="A173" s="112"/>
      <c r="B173" s="7" t="s">
        <v>30</v>
      </c>
      <c r="C173" s="16">
        <v>1</v>
      </c>
      <c r="D173" s="16">
        <v>1</v>
      </c>
      <c r="E173" s="16">
        <v>1</v>
      </c>
      <c r="F173" s="16">
        <v>1312</v>
      </c>
      <c r="G173" s="16" t="s">
        <v>84</v>
      </c>
      <c r="H173" s="21" t="s">
        <v>195</v>
      </c>
      <c r="I173" s="16">
        <v>6.3</v>
      </c>
      <c r="J173" s="16">
        <v>0.59479381399999998</v>
      </c>
      <c r="K173" s="113"/>
      <c r="L173" s="113"/>
    </row>
    <row r="174" spans="1:12" x14ac:dyDescent="0.3">
      <c r="A174" s="112"/>
      <c r="B174" s="13" t="s">
        <v>30</v>
      </c>
      <c r="C174" s="23">
        <v>1</v>
      </c>
      <c r="D174" s="23">
        <v>1</v>
      </c>
      <c r="E174" s="23"/>
      <c r="F174" s="23">
        <v>2876</v>
      </c>
      <c r="G174" s="23" t="s">
        <v>84</v>
      </c>
      <c r="H174" s="24"/>
      <c r="I174" s="23"/>
      <c r="J174" s="16">
        <v>0.69101458650000003</v>
      </c>
      <c r="K174" s="113"/>
      <c r="L174" s="113"/>
    </row>
    <row r="175" spans="1:12" x14ac:dyDescent="0.3">
      <c r="A175" s="112"/>
      <c r="B175" s="7"/>
      <c r="C175" s="16"/>
      <c r="D175" s="16"/>
      <c r="E175" s="16"/>
      <c r="F175" s="16"/>
      <c r="G175" s="16"/>
      <c r="H175" s="21"/>
      <c r="I175" s="16"/>
      <c r="J175" s="16"/>
      <c r="K175" s="113"/>
      <c r="L175" s="113"/>
    </row>
    <row r="176" spans="1:12" x14ac:dyDescent="0.3">
      <c r="A176" s="112" t="s">
        <v>196</v>
      </c>
      <c r="B176" s="7" t="s">
        <v>30</v>
      </c>
      <c r="C176" s="16">
        <v>1</v>
      </c>
      <c r="D176" s="16">
        <v>1</v>
      </c>
      <c r="E176" s="16">
        <v>2</v>
      </c>
      <c r="F176" s="16">
        <v>1323</v>
      </c>
      <c r="G176" s="16" t="s">
        <v>86</v>
      </c>
      <c r="H176" s="21">
        <v>22.3</v>
      </c>
      <c r="I176" s="16">
        <v>14</v>
      </c>
      <c r="J176" s="16">
        <v>0.52661747799999992</v>
      </c>
      <c r="K176" s="113">
        <f t="shared" si="42"/>
        <v>0.53671330785000004</v>
      </c>
      <c r="L176" s="113">
        <f t="shared" ref="L176" si="49">_xlfn.STDEV.P(J176:J181)</f>
        <v>3.7279236419219444E-2</v>
      </c>
    </row>
    <row r="177" spans="1:12" x14ac:dyDescent="0.3">
      <c r="A177" s="112"/>
      <c r="B177" s="7" t="s">
        <v>30</v>
      </c>
      <c r="C177" s="16">
        <v>1</v>
      </c>
      <c r="D177" s="16">
        <v>3</v>
      </c>
      <c r="E177" s="16">
        <v>1</v>
      </c>
      <c r="F177" s="16">
        <v>1720</v>
      </c>
      <c r="G177" s="16" t="s">
        <v>86</v>
      </c>
      <c r="H177" s="21">
        <v>24.6</v>
      </c>
      <c r="I177" s="16">
        <v>17.399999999999999</v>
      </c>
      <c r="J177" s="16">
        <v>0.52435211349999999</v>
      </c>
      <c r="K177" s="113"/>
      <c r="L177" s="113"/>
    </row>
    <row r="178" spans="1:12" x14ac:dyDescent="0.3">
      <c r="A178" s="112"/>
      <c r="B178" s="13" t="s">
        <v>30</v>
      </c>
      <c r="C178" s="23">
        <v>1</v>
      </c>
      <c r="D178" s="23">
        <v>3</v>
      </c>
      <c r="E178" s="23"/>
      <c r="F178" s="23">
        <v>413</v>
      </c>
      <c r="G178" s="23" t="s">
        <v>86</v>
      </c>
      <c r="H178" s="24"/>
      <c r="I178" s="23"/>
      <c r="J178" s="16">
        <v>0.59839607350000001</v>
      </c>
      <c r="K178" s="113"/>
      <c r="L178" s="113"/>
    </row>
    <row r="179" spans="1:12" x14ac:dyDescent="0.3">
      <c r="A179" s="112"/>
      <c r="B179" s="7" t="s">
        <v>30</v>
      </c>
      <c r="C179" s="16">
        <v>2</v>
      </c>
      <c r="D179" s="16">
        <v>2</v>
      </c>
      <c r="E179" s="16">
        <v>1</v>
      </c>
      <c r="F179" s="16">
        <v>442</v>
      </c>
      <c r="G179" s="16" t="s">
        <v>86</v>
      </c>
      <c r="H179" s="21">
        <v>15.6</v>
      </c>
      <c r="I179" s="16">
        <v>11.6</v>
      </c>
      <c r="J179" s="16">
        <v>0.48454364475</v>
      </c>
      <c r="K179" s="113"/>
      <c r="L179" s="113"/>
    </row>
    <row r="180" spans="1:12" x14ac:dyDescent="0.3">
      <c r="A180" s="112"/>
      <c r="B180" s="13" t="s">
        <v>30</v>
      </c>
      <c r="C180" s="23">
        <v>2</v>
      </c>
      <c r="D180" s="23">
        <v>1</v>
      </c>
      <c r="E180" s="23"/>
      <c r="F180" s="23">
        <v>313</v>
      </c>
      <c r="G180" s="23" t="s">
        <v>86</v>
      </c>
      <c r="H180" s="24"/>
      <c r="I180" s="23"/>
      <c r="J180" s="16">
        <v>0.54965722949999996</v>
      </c>
      <c r="K180" s="113"/>
      <c r="L180" s="113"/>
    </row>
    <row r="181" spans="1:12" x14ac:dyDescent="0.3">
      <c r="A181" s="112"/>
      <c r="B181" s="7"/>
      <c r="C181" s="16"/>
      <c r="D181" s="16"/>
      <c r="E181" s="16"/>
      <c r="F181" s="16"/>
      <c r="G181" s="16"/>
      <c r="H181" s="21"/>
      <c r="I181" s="16"/>
      <c r="J181" s="16"/>
      <c r="K181" s="113"/>
      <c r="L181" s="113"/>
    </row>
    <row r="182" spans="1:12" x14ac:dyDescent="0.3">
      <c r="A182" s="112" t="s">
        <v>87</v>
      </c>
      <c r="B182" s="7" t="s">
        <v>30</v>
      </c>
      <c r="C182" s="22">
        <v>1</v>
      </c>
      <c r="D182" s="22">
        <v>3</v>
      </c>
      <c r="E182" s="16">
        <v>1</v>
      </c>
      <c r="F182" s="16">
        <v>1728</v>
      </c>
      <c r="G182" s="16" t="s">
        <v>84</v>
      </c>
      <c r="H182" s="21">
        <v>16.100000000000001</v>
      </c>
      <c r="I182" s="16">
        <v>11.5</v>
      </c>
      <c r="J182" s="16">
        <v>0.27271490774999996</v>
      </c>
      <c r="K182" s="113">
        <f t="shared" si="42"/>
        <v>0.37105141554999999</v>
      </c>
      <c r="L182" s="113">
        <f t="shared" ref="L182" si="50">_xlfn.STDEV.P(J182:J187)</f>
        <v>6.8426870362294598E-2</v>
      </c>
    </row>
    <row r="183" spans="1:12" x14ac:dyDescent="0.3">
      <c r="A183" s="112"/>
      <c r="B183" s="13" t="s">
        <v>30</v>
      </c>
      <c r="C183" s="14">
        <v>1</v>
      </c>
      <c r="D183" s="14">
        <v>3</v>
      </c>
      <c r="E183" s="23"/>
      <c r="F183" s="23">
        <v>4996</v>
      </c>
      <c r="G183" s="23" t="s">
        <v>84</v>
      </c>
      <c r="H183" s="24"/>
      <c r="I183" s="23"/>
      <c r="J183" s="16">
        <v>0.38126894099999997</v>
      </c>
      <c r="K183" s="113"/>
      <c r="L183" s="113"/>
    </row>
    <row r="184" spans="1:12" x14ac:dyDescent="0.3">
      <c r="A184" s="112"/>
      <c r="B184" s="13" t="s">
        <v>38</v>
      </c>
      <c r="C184" s="14">
        <v>1</v>
      </c>
      <c r="D184" s="14">
        <v>2</v>
      </c>
      <c r="E184" s="23"/>
      <c r="F184" s="23">
        <v>4999</v>
      </c>
      <c r="G184" s="23" t="s">
        <v>84</v>
      </c>
      <c r="H184" s="24"/>
      <c r="I184" s="23"/>
      <c r="J184" s="16">
        <v>0.38791938300000001</v>
      </c>
      <c r="K184" s="113"/>
      <c r="L184" s="113"/>
    </row>
    <row r="185" spans="1:12" x14ac:dyDescent="0.3">
      <c r="A185" s="112"/>
      <c r="B185" s="13" t="s">
        <v>38</v>
      </c>
      <c r="C185" s="14">
        <v>1</v>
      </c>
      <c r="D185" s="14">
        <v>1</v>
      </c>
      <c r="E185" s="23"/>
      <c r="F185" s="23">
        <v>460</v>
      </c>
      <c r="G185" s="23" t="s">
        <v>84</v>
      </c>
      <c r="H185" s="24"/>
      <c r="I185" s="23"/>
      <c r="J185" s="16">
        <v>0.48020866600000001</v>
      </c>
      <c r="K185" s="113"/>
      <c r="L185" s="113"/>
    </row>
    <row r="186" spans="1:12" x14ac:dyDescent="0.3">
      <c r="A186" s="112"/>
      <c r="B186" s="13" t="s">
        <v>38</v>
      </c>
      <c r="C186" s="14">
        <v>1</v>
      </c>
      <c r="D186" s="14">
        <v>1</v>
      </c>
      <c r="E186" s="23"/>
      <c r="F186" s="23">
        <v>203</v>
      </c>
      <c r="G186" s="23" t="s">
        <v>84</v>
      </c>
      <c r="H186" s="24"/>
      <c r="I186" s="23"/>
      <c r="J186" s="16">
        <v>0.33314518000000004</v>
      </c>
      <c r="K186" s="113"/>
      <c r="L186" s="113"/>
    </row>
    <row r="187" spans="1:12" x14ac:dyDescent="0.3">
      <c r="A187" s="112"/>
      <c r="B187" s="7"/>
      <c r="C187" s="16"/>
      <c r="D187" s="16"/>
      <c r="E187" s="16"/>
      <c r="F187" s="16"/>
      <c r="G187" s="16"/>
      <c r="H187" s="21"/>
      <c r="I187" s="16"/>
      <c r="J187" s="16"/>
      <c r="K187" s="113"/>
      <c r="L187" s="113"/>
    </row>
    <row r="188" spans="1:12" x14ac:dyDescent="0.3">
      <c r="A188" s="112" t="s">
        <v>88</v>
      </c>
      <c r="B188" s="7" t="s">
        <v>30</v>
      </c>
      <c r="C188" s="16">
        <v>1</v>
      </c>
      <c r="D188" s="16">
        <v>2</v>
      </c>
      <c r="E188" s="16">
        <v>2</v>
      </c>
      <c r="F188" s="16">
        <v>4972</v>
      </c>
      <c r="G188" s="16" t="s">
        <v>21</v>
      </c>
      <c r="H188" s="20" t="s">
        <v>197</v>
      </c>
      <c r="I188" s="18">
        <v>9.6999999999999993</v>
      </c>
      <c r="J188" s="16">
        <v>0.92542914850000002</v>
      </c>
      <c r="K188" s="113">
        <f t="shared" si="42"/>
        <v>0.93010983325000007</v>
      </c>
      <c r="L188" s="113">
        <f t="shared" ref="L188" si="51">_xlfn.STDEV.P(J188:J193)</f>
        <v>2.7336851211857794E-2</v>
      </c>
    </row>
    <row r="189" spans="1:12" x14ac:dyDescent="0.3">
      <c r="A189" s="112"/>
      <c r="B189" s="13" t="s">
        <v>30</v>
      </c>
      <c r="C189" s="23">
        <v>2</v>
      </c>
      <c r="D189" s="23">
        <v>1</v>
      </c>
      <c r="E189" s="23"/>
      <c r="F189" s="23">
        <v>424</v>
      </c>
      <c r="G189" s="23" t="s">
        <v>21</v>
      </c>
      <c r="H189" s="24"/>
      <c r="I189" s="23"/>
      <c r="J189" s="16">
        <v>0.90652633824999995</v>
      </c>
      <c r="K189" s="113"/>
      <c r="L189" s="113"/>
    </row>
    <row r="190" spans="1:12" x14ac:dyDescent="0.3">
      <c r="A190" s="112"/>
      <c r="B190" s="7" t="s">
        <v>30</v>
      </c>
      <c r="C190" s="16">
        <v>2</v>
      </c>
      <c r="D190" s="16">
        <v>1</v>
      </c>
      <c r="E190" s="16">
        <v>1</v>
      </c>
      <c r="F190" s="16">
        <v>79</v>
      </c>
      <c r="G190" s="16" t="s">
        <v>21</v>
      </c>
      <c r="H190" s="21" t="s">
        <v>198</v>
      </c>
      <c r="I190" s="16">
        <v>12.7</v>
      </c>
      <c r="J190" s="16">
        <v>0.89703169549999995</v>
      </c>
      <c r="K190" s="113"/>
      <c r="L190" s="113"/>
    </row>
    <row r="191" spans="1:12" x14ac:dyDescent="0.3">
      <c r="A191" s="112"/>
      <c r="B191" s="7" t="s">
        <v>30</v>
      </c>
      <c r="C191" s="16">
        <v>2</v>
      </c>
      <c r="D191" s="16">
        <v>1</v>
      </c>
      <c r="E191" s="16">
        <v>1</v>
      </c>
      <c r="F191" s="16">
        <v>87</v>
      </c>
      <c r="G191" s="16" t="s">
        <v>21</v>
      </c>
      <c r="H191" s="21" t="s">
        <v>199</v>
      </c>
      <c r="I191" s="16">
        <v>12.2</v>
      </c>
      <c r="J191" s="16">
        <v>0.95122003050000004</v>
      </c>
      <c r="K191" s="113"/>
      <c r="L191" s="113"/>
    </row>
    <row r="192" spans="1:12" x14ac:dyDescent="0.3">
      <c r="A192" s="112"/>
      <c r="B192" s="7" t="s">
        <v>30</v>
      </c>
      <c r="C192" s="16">
        <v>2</v>
      </c>
      <c r="D192" s="16">
        <v>1</v>
      </c>
      <c r="E192" s="16">
        <v>2</v>
      </c>
      <c r="F192" s="16">
        <v>109</v>
      </c>
      <c r="G192" s="16" t="s">
        <v>21</v>
      </c>
      <c r="H192" s="21">
        <v>11.9</v>
      </c>
      <c r="I192" s="16">
        <v>11.7</v>
      </c>
      <c r="J192" s="16">
        <v>0.97034195349999997</v>
      </c>
      <c r="K192" s="113"/>
      <c r="L192" s="113"/>
    </row>
    <row r="193" spans="1:12" x14ac:dyDescent="0.3">
      <c r="A193" s="112"/>
      <c r="B193" s="7"/>
      <c r="C193" s="16"/>
      <c r="D193" s="16"/>
      <c r="E193" s="16"/>
      <c r="F193" s="16"/>
      <c r="G193" s="16"/>
      <c r="H193" s="21"/>
      <c r="I193" s="16"/>
      <c r="J193" s="16"/>
      <c r="K193" s="113"/>
      <c r="L193" s="113"/>
    </row>
  </sheetData>
  <mergeCells count="96">
    <mergeCell ref="A182:A187"/>
    <mergeCell ref="K182:K187"/>
    <mergeCell ref="L182:L187"/>
    <mergeCell ref="A188:A193"/>
    <mergeCell ref="K188:K193"/>
    <mergeCell ref="L188:L193"/>
    <mergeCell ref="A170:A175"/>
    <mergeCell ref="K170:K175"/>
    <mergeCell ref="L170:L175"/>
    <mergeCell ref="A176:A181"/>
    <mergeCell ref="K176:K181"/>
    <mergeCell ref="L176:L181"/>
    <mergeCell ref="A158:A163"/>
    <mergeCell ref="K158:K163"/>
    <mergeCell ref="L158:L163"/>
    <mergeCell ref="A164:A169"/>
    <mergeCell ref="K164:K169"/>
    <mergeCell ref="L164:L169"/>
    <mergeCell ref="A146:A151"/>
    <mergeCell ref="K146:K151"/>
    <mergeCell ref="L146:L151"/>
    <mergeCell ref="A152:A157"/>
    <mergeCell ref="K152:K157"/>
    <mergeCell ref="L152:L157"/>
    <mergeCell ref="A134:A139"/>
    <mergeCell ref="K134:K139"/>
    <mergeCell ref="L134:L139"/>
    <mergeCell ref="A140:A145"/>
    <mergeCell ref="K140:K145"/>
    <mergeCell ref="L140:L145"/>
    <mergeCell ref="A122:A127"/>
    <mergeCell ref="K122:K127"/>
    <mergeCell ref="L122:L127"/>
    <mergeCell ref="A128:A133"/>
    <mergeCell ref="K128:K133"/>
    <mergeCell ref="L128:L133"/>
    <mergeCell ref="A110:A115"/>
    <mergeCell ref="K110:K115"/>
    <mergeCell ref="L110:L115"/>
    <mergeCell ref="A116:A121"/>
    <mergeCell ref="K116:K121"/>
    <mergeCell ref="L116:L121"/>
    <mergeCell ref="A98:A103"/>
    <mergeCell ref="K98:K103"/>
    <mergeCell ref="L98:L103"/>
    <mergeCell ref="A104:A109"/>
    <mergeCell ref="K104:K109"/>
    <mergeCell ref="L104:L109"/>
    <mergeCell ref="A86:A91"/>
    <mergeCell ref="K86:K91"/>
    <mergeCell ref="L86:L91"/>
    <mergeCell ref="A92:A97"/>
    <mergeCell ref="K92:K97"/>
    <mergeCell ref="L92:L97"/>
    <mergeCell ref="A74:A79"/>
    <mergeCell ref="K74:K79"/>
    <mergeCell ref="L74:L79"/>
    <mergeCell ref="A80:A85"/>
    <mergeCell ref="K80:K85"/>
    <mergeCell ref="L80:L85"/>
    <mergeCell ref="A62:A67"/>
    <mergeCell ref="K62:K67"/>
    <mergeCell ref="L62:L67"/>
    <mergeCell ref="A68:A73"/>
    <mergeCell ref="K68:K73"/>
    <mergeCell ref="L68:L73"/>
    <mergeCell ref="A50:A55"/>
    <mergeCell ref="K50:K55"/>
    <mergeCell ref="L50:L55"/>
    <mergeCell ref="A56:A61"/>
    <mergeCell ref="K56:K61"/>
    <mergeCell ref="L56:L61"/>
    <mergeCell ref="A38:A43"/>
    <mergeCell ref="K38:K43"/>
    <mergeCell ref="L38:L43"/>
    <mergeCell ref="A44:A49"/>
    <mergeCell ref="K44:K49"/>
    <mergeCell ref="L44:L49"/>
    <mergeCell ref="A26:A31"/>
    <mergeCell ref="K26:K31"/>
    <mergeCell ref="L26:L31"/>
    <mergeCell ref="A32:A37"/>
    <mergeCell ref="K32:K37"/>
    <mergeCell ref="L32:L37"/>
    <mergeCell ref="A14:A19"/>
    <mergeCell ref="K14:K19"/>
    <mergeCell ref="L14:L19"/>
    <mergeCell ref="A20:A25"/>
    <mergeCell ref="K20:K25"/>
    <mergeCell ref="L20:L25"/>
    <mergeCell ref="A2:A7"/>
    <mergeCell ref="K2:K7"/>
    <mergeCell ref="L2:L7"/>
    <mergeCell ref="A8:A13"/>
    <mergeCell ref="K8:K13"/>
    <mergeCell ref="L8:L1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8995-6968-41A9-9C0B-364DEF55DCB8}">
  <dimension ref="A1:Y180"/>
  <sheetViews>
    <sheetView topLeftCell="D1" zoomScale="70" zoomScaleNormal="70" workbookViewId="0">
      <selection activeCell="O2" sqref="O2"/>
    </sheetView>
  </sheetViews>
  <sheetFormatPr defaultRowHeight="14.4" x14ac:dyDescent="0.3"/>
  <cols>
    <col min="1" max="1" width="42.44140625" bestFit="1" customWidth="1"/>
    <col min="2" max="2" width="11.33203125" bestFit="1" customWidth="1"/>
    <col min="3" max="3" width="7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6.6640625" bestFit="1" customWidth="1"/>
    <col min="9" max="9" width="6.44140625" customWidth="1"/>
    <col min="10" max="10" width="25.6640625" bestFit="1" customWidth="1"/>
    <col min="11" max="14" width="13.88671875" style="28" bestFit="1" customWidth="1"/>
    <col min="15" max="18" width="13.88671875" style="62" bestFit="1" customWidth="1"/>
    <col min="19" max="19" width="8.88671875" style="28" bestFit="1" customWidth="1"/>
    <col min="20" max="20" width="18.109375" style="28" bestFit="1" customWidth="1"/>
    <col min="21" max="21" width="8.88671875" style="62" bestFit="1" customWidth="1"/>
    <col min="22" max="22" width="18.109375" style="62" bestFit="1" customWidth="1"/>
    <col min="23" max="23" width="3.88671875" customWidth="1"/>
    <col min="24" max="24" width="3" bestFit="1" customWidth="1"/>
    <col min="25" max="25" width="92.5546875" bestFit="1" customWidth="1"/>
  </cols>
  <sheetData>
    <row r="1" spans="1:25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160</v>
      </c>
      <c r="G1" s="58" t="s">
        <v>92</v>
      </c>
      <c r="H1" s="58" t="s">
        <v>7</v>
      </c>
      <c r="I1" s="58" t="s">
        <v>8</v>
      </c>
      <c r="J1" s="58" t="s">
        <v>9</v>
      </c>
      <c r="K1" s="60" t="s">
        <v>161</v>
      </c>
      <c r="L1" s="60" t="s">
        <v>162</v>
      </c>
      <c r="M1" s="60" t="s">
        <v>163</v>
      </c>
      <c r="N1" s="60" t="s">
        <v>164</v>
      </c>
      <c r="O1" s="61" t="s">
        <v>165</v>
      </c>
      <c r="P1" s="61" t="s">
        <v>166</v>
      </c>
      <c r="Q1" s="80" t="s">
        <v>167</v>
      </c>
      <c r="R1" s="80" t="s">
        <v>168</v>
      </c>
      <c r="S1" s="60" t="s">
        <v>170</v>
      </c>
      <c r="T1" s="60" t="s">
        <v>171</v>
      </c>
      <c r="U1" s="61" t="s">
        <v>170</v>
      </c>
      <c r="V1" s="61" t="s">
        <v>171</v>
      </c>
    </row>
    <row r="2" spans="1:25" ht="15.6" x14ac:dyDescent="0.3">
      <c r="A2" s="59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53">
        <v>0.55428571428571427</v>
      </c>
      <c r="K2" s="70">
        <f t="shared" ref="K2:K33" si="0" xml:space="preserve"> EXP(-2.134 + 2.53*LN(H2))</f>
        <v>84.098977486623539</v>
      </c>
      <c r="L2" s="70">
        <f t="shared" ref="L2:L33" si="1">(0.02453 *(H2^2.443356)*(I2^0.423602))</f>
        <v>44.689068723234925</v>
      </c>
      <c r="M2" s="70">
        <f>0.024393*((H2^2)*I2)</f>
        <v>68.766111156000008</v>
      </c>
      <c r="N2" s="68">
        <f>10^(-0.717903255+0.940214879*LOG(H2)+1.345432588*LOG(I2)*1.109844005)</f>
        <v>134.14023866060629</v>
      </c>
      <c r="O2" s="69">
        <f t="shared" ref="O2:O33" si="2" xml:space="preserve"> 0.0509*J2*H2^2*I2</f>
        <v>79.535445323428576</v>
      </c>
      <c r="P2" s="69">
        <f t="shared" ref="P2:P33" si="3">((0.0559)*((J2*H2^2*I2)))</f>
        <v>87.348357437714284</v>
      </c>
      <c r="Q2" s="69">
        <f t="shared" ref="Q2:Q33" si="4">((0.0673)*((J2*H2^2*I2)^0.976))</f>
        <v>88.146641243302142</v>
      </c>
      <c r="R2" s="69">
        <f>EXP(-1.305+1.055*LN(H2^2)+0.34*LN(I2)+1.077*LN(J2))</f>
        <v>87.507219962090758</v>
      </c>
      <c r="S2" s="68">
        <f>AVERAGE(K2:N2)</f>
        <v>82.9235990066162</v>
      </c>
      <c r="T2" s="68">
        <f>_xlfn.STDEV.P(K2:N2)</f>
        <v>32.736980084642326</v>
      </c>
      <c r="U2" s="69">
        <f>AVERAGE(O2:R2)</f>
        <v>85.634415991633944</v>
      </c>
      <c r="V2" s="69">
        <f>_xlfn.STDEV.P(O2:R2)</f>
        <v>3.5338968900881769</v>
      </c>
      <c r="Y2" s="57" t="s">
        <v>22</v>
      </c>
    </row>
    <row r="3" spans="1:25" x14ac:dyDescent="0.3">
      <c r="A3" s="59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53">
        <v>0.56082474226804124</v>
      </c>
      <c r="K3" s="70">
        <f t="shared" si="0"/>
        <v>690.63548441771218</v>
      </c>
      <c r="L3" s="70">
        <f t="shared" si="1"/>
        <v>397.68946981350473</v>
      </c>
      <c r="M3" s="70">
        <f t="shared" ref="M3:M66" si="5">0.024393*((H3^2)*I3)</f>
        <v>520.65394920000006</v>
      </c>
      <c r="N3" s="68">
        <f t="shared" ref="N3:N66" si="6">10^(-0.717903255+0.940214879*LOG(H3)+1.345432588*LOG(I3)*1.109844005)</f>
        <v>502.0658142902243</v>
      </c>
      <c r="O3" s="69">
        <f t="shared" si="2"/>
        <v>609.29680230927852</v>
      </c>
      <c r="P3" s="69">
        <f t="shared" si="3"/>
        <v>669.1491404536082</v>
      </c>
      <c r="Q3" s="69">
        <f t="shared" si="4"/>
        <v>643.06002634382173</v>
      </c>
      <c r="R3" s="69">
        <f t="shared" ref="R3:R66" si="7">EXP(-1.305+1.055*LN(H3^2)+0.34*LN(I3)+1.077*LN(J3))</f>
        <v>579.85128810732328</v>
      </c>
      <c r="S3" s="68">
        <f t="shared" ref="S3:S66" si="8">AVERAGE(K3:N3)</f>
        <v>527.76117943036036</v>
      </c>
      <c r="T3" s="68">
        <f t="shared" ref="T3:T66" si="9">_xlfn.STDEV.P(K3:N3)</f>
        <v>105.06837461743255</v>
      </c>
      <c r="U3" s="69">
        <f t="shared" ref="U3:U66" si="10">AVERAGE(O3:R3)</f>
        <v>625.33931430350799</v>
      </c>
      <c r="V3" s="69">
        <f t="shared" ref="V3:V66" si="11">_xlfn.STDEV.P(O3:R3)</f>
        <v>33.763320411459489</v>
      </c>
      <c r="X3" s="27">
        <v>1</v>
      </c>
      <c r="Y3" t="s">
        <v>47</v>
      </c>
    </row>
    <row r="4" spans="1:25" x14ac:dyDescent="0.3">
      <c r="A4" s="59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65">
        <v>0.55384615384615388</v>
      </c>
      <c r="K4" s="70">
        <f t="shared" si="0"/>
        <v>1238.6820419676594</v>
      </c>
      <c r="L4" s="70">
        <f t="shared" si="1"/>
        <v>634.58547533065916</v>
      </c>
      <c r="M4" s="70">
        <f t="shared" si="5"/>
        <v>657.32734276799999</v>
      </c>
      <c r="N4" s="68">
        <f t="shared" si="6"/>
        <v>443.32838858536547</v>
      </c>
      <c r="O4" s="69">
        <f t="shared" si="2"/>
        <v>759.66725819076908</v>
      </c>
      <c r="P4" s="69">
        <f t="shared" si="3"/>
        <v>834.29076095999994</v>
      </c>
      <c r="Q4" s="69">
        <f t="shared" si="4"/>
        <v>797.5298658840743</v>
      </c>
      <c r="R4" s="69">
        <f t="shared" si="7"/>
        <v>861.55058344708834</v>
      </c>
      <c r="S4" s="68">
        <f t="shared" si="8"/>
        <v>743.48081216292098</v>
      </c>
      <c r="T4" s="68">
        <f t="shared" si="9"/>
        <v>297.73996626763062</v>
      </c>
      <c r="U4" s="69">
        <f t="shared" si="10"/>
        <v>813.25961712048286</v>
      </c>
      <c r="V4" s="69">
        <f t="shared" si="11"/>
        <v>38.385845208769247</v>
      </c>
      <c r="Y4" t="s">
        <v>49</v>
      </c>
    </row>
    <row r="5" spans="1:25" x14ac:dyDescent="0.3">
      <c r="A5" s="59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66">
        <v>0.49723756906077349</v>
      </c>
      <c r="K5" s="70">
        <f t="shared" si="0"/>
        <v>476.61325503947177</v>
      </c>
      <c r="L5" s="70">
        <f t="shared" si="1"/>
        <v>248.0635562800835</v>
      </c>
      <c r="M5" s="70">
        <f t="shared" si="5"/>
        <v>296.86359057600004</v>
      </c>
      <c r="N5" s="68">
        <f t="shared" si="6"/>
        <v>292.89220174543226</v>
      </c>
      <c r="O5" s="69">
        <f t="shared" si="2"/>
        <v>308.01611376795586</v>
      </c>
      <c r="P5" s="69">
        <f t="shared" si="3"/>
        <v>338.27309940331492</v>
      </c>
      <c r="Q5" s="69">
        <f t="shared" si="4"/>
        <v>330.45032493303836</v>
      </c>
      <c r="R5" s="69">
        <f t="shared" si="7"/>
        <v>341.21254017164205</v>
      </c>
      <c r="S5" s="68">
        <f t="shared" si="8"/>
        <v>328.60815091024688</v>
      </c>
      <c r="T5" s="68">
        <f t="shared" si="9"/>
        <v>87.573238931762631</v>
      </c>
      <c r="U5" s="69">
        <f t="shared" si="10"/>
        <v>329.4880195689878</v>
      </c>
      <c r="V5" s="69">
        <f t="shared" si="11"/>
        <v>13.005871572098068</v>
      </c>
    </row>
    <row r="6" spans="1:25" x14ac:dyDescent="0.3">
      <c r="A6" s="59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65">
        <v>0.49627791563275436</v>
      </c>
      <c r="K6" s="70">
        <f t="shared" si="0"/>
        <v>208.91406725498325</v>
      </c>
      <c r="L6" s="70">
        <f t="shared" si="1"/>
        <v>88.514081045936805</v>
      </c>
      <c r="M6" s="70">
        <f t="shared" si="5"/>
        <v>89.023131648000003</v>
      </c>
      <c r="N6" s="68">
        <f t="shared" si="6"/>
        <v>94.488364183450912</v>
      </c>
      <c r="O6" s="69">
        <f t="shared" si="2"/>
        <v>92.189271662531027</v>
      </c>
      <c r="P6" s="69">
        <f t="shared" si="3"/>
        <v>101.24519225806451</v>
      </c>
      <c r="Q6" s="69">
        <f t="shared" si="4"/>
        <v>101.80909180625423</v>
      </c>
      <c r="R6" s="69">
        <f t="shared" si="7"/>
        <v>141.84793914579387</v>
      </c>
      <c r="S6" s="68">
        <f t="shared" si="8"/>
        <v>120.23491103309274</v>
      </c>
      <c r="T6" s="68">
        <f t="shared" si="9"/>
        <v>51.252472258333583</v>
      </c>
      <c r="U6" s="69">
        <f t="shared" si="10"/>
        <v>109.27287371816091</v>
      </c>
      <c r="V6" s="69">
        <f t="shared" si="11"/>
        <v>19.190727297727463</v>
      </c>
      <c r="X6" s="27">
        <v>2</v>
      </c>
      <c r="Y6" t="s">
        <v>23</v>
      </c>
    </row>
    <row r="7" spans="1:25" x14ac:dyDescent="0.3">
      <c r="A7" s="59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53">
        <v>0.50819672131147542</v>
      </c>
      <c r="K7" s="70">
        <f t="shared" si="0"/>
        <v>99.132429630519496</v>
      </c>
      <c r="L7" s="70">
        <f t="shared" si="1"/>
        <v>45.910129091726603</v>
      </c>
      <c r="M7" s="70">
        <f t="shared" si="5"/>
        <v>57.36343255500001</v>
      </c>
      <c r="N7" s="68">
        <f t="shared" si="6"/>
        <v>89.581105255366126</v>
      </c>
      <c r="O7" s="69">
        <f t="shared" si="2"/>
        <v>60.830243713114754</v>
      </c>
      <c r="P7" s="69">
        <f t="shared" si="3"/>
        <v>66.805709696721308</v>
      </c>
      <c r="Q7" s="69">
        <f t="shared" si="4"/>
        <v>67.851459794566196</v>
      </c>
      <c r="R7" s="69">
        <f t="shared" si="7"/>
        <v>82.231519968953521</v>
      </c>
      <c r="S7" s="68">
        <f t="shared" si="8"/>
        <v>72.996774133153053</v>
      </c>
      <c r="T7" s="68">
        <f t="shared" si="9"/>
        <v>22.001137672559508</v>
      </c>
      <c r="U7" s="69">
        <f t="shared" si="10"/>
        <v>69.429733293338941</v>
      </c>
      <c r="V7" s="69">
        <f t="shared" si="11"/>
        <v>7.8615108312725166</v>
      </c>
      <c r="X7" s="27">
        <v>3</v>
      </c>
      <c r="Y7" t="s">
        <v>25</v>
      </c>
    </row>
    <row r="8" spans="1:25" x14ac:dyDescent="0.3">
      <c r="A8" s="59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65">
        <v>0.65610859728506787</v>
      </c>
      <c r="K8" s="70">
        <f t="shared" si="0"/>
        <v>42.16712682704506</v>
      </c>
      <c r="L8" s="70">
        <f t="shared" si="1"/>
        <v>21.723104442010996</v>
      </c>
      <c r="M8" s="70">
        <f t="shared" si="5"/>
        <v>35.022298536000001</v>
      </c>
      <c r="N8" s="68">
        <f t="shared" si="6"/>
        <v>85.602848344015115</v>
      </c>
      <c r="O8" s="69">
        <f t="shared" si="2"/>
        <v>47.948269846153842</v>
      </c>
      <c r="P8" s="69">
        <f t="shared" si="3"/>
        <v>52.658315999999992</v>
      </c>
      <c r="Q8" s="69">
        <f t="shared" si="4"/>
        <v>53.788929227237517</v>
      </c>
      <c r="R8" s="69">
        <f t="shared" si="7"/>
        <v>56.472083697609506</v>
      </c>
      <c r="S8" s="68">
        <f t="shared" si="8"/>
        <v>46.128844537267796</v>
      </c>
      <c r="T8" s="68">
        <f t="shared" si="9"/>
        <v>23.942053469920332</v>
      </c>
      <c r="U8" s="69">
        <f t="shared" si="10"/>
        <v>52.716899692750218</v>
      </c>
      <c r="V8" s="69">
        <f t="shared" si="11"/>
        <v>3.0819602891694653</v>
      </c>
      <c r="Y8" t="s">
        <v>28</v>
      </c>
    </row>
    <row r="9" spans="1:25" x14ac:dyDescent="0.3">
      <c r="A9" s="59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65">
        <v>0.71647509578544066</v>
      </c>
      <c r="K9" s="70">
        <f t="shared" si="0"/>
        <v>77.891892706831428</v>
      </c>
      <c r="L9" s="70">
        <f t="shared" si="1"/>
        <v>42.814707914337959</v>
      </c>
      <c r="M9" s="70">
        <f t="shared" si="5"/>
        <v>69.668847299999996</v>
      </c>
      <c r="N9" s="68">
        <f t="shared" si="6"/>
        <v>145.5285501737153</v>
      </c>
      <c r="O9" s="69">
        <f t="shared" si="2"/>
        <v>104.15791812260537</v>
      </c>
      <c r="P9" s="69">
        <f t="shared" si="3"/>
        <v>114.38954072796935</v>
      </c>
      <c r="Q9" s="69">
        <f t="shared" si="4"/>
        <v>114.69016682393941</v>
      </c>
      <c r="R9" s="69">
        <f t="shared" si="7"/>
        <v>110.96837794706217</v>
      </c>
      <c r="S9" s="68">
        <f t="shared" si="8"/>
        <v>83.975999523721171</v>
      </c>
      <c r="T9" s="68">
        <f t="shared" si="9"/>
        <v>37.830805499568825</v>
      </c>
      <c r="U9" s="69">
        <f t="shared" si="10"/>
        <v>111.05150090539406</v>
      </c>
      <c r="V9" s="69">
        <f t="shared" si="11"/>
        <v>4.2400115723086316</v>
      </c>
    </row>
    <row r="10" spans="1:25" x14ac:dyDescent="0.3">
      <c r="A10" s="59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66">
        <v>0.72508591065292094</v>
      </c>
      <c r="K10" s="70">
        <f t="shared" si="0"/>
        <v>123.54375848971559</v>
      </c>
      <c r="L10" s="70">
        <f t="shared" si="1"/>
        <v>64.439562374360008</v>
      </c>
      <c r="M10" s="70">
        <f t="shared" si="5"/>
        <v>92.012347439999999</v>
      </c>
      <c r="N10" s="68">
        <f t="shared" si="6"/>
        <v>151.81605107719457</v>
      </c>
      <c r="O10" s="69">
        <f t="shared" si="2"/>
        <v>139.21567694845359</v>
      </c>
      <c r="P10" s="69">
        <f t="shared" si="3"/>
        <v>152.89108725773195</v>
      </c>
      <c r="Q10" s="69">
        <f t="shared" si="4"/>
        <v>152.22926017744911</v>
      </c>
      <c r="R10" s="69">
        <f t="shared" si="7"/>
        <v>160.35807576360671</v>
      </c>
      <c r="S10" s="68">
        <f t="shared" si="8"/>
        <v>107.95292984531754</v>
      </c>
      <c r="T10" s="68">
        <f t="shared" si="9"/>
        <v>32.842665307891131</v>
      </c>
      <c r="U10" s="69">
        <f t="shared" si="10"/>
        <v>151.17352503681033</v>
      </c>
      <c r="V10" s="69">
        <f t="shared" si="11"/>
        <v>7.6060945896568617</v>
      </c>
      <c r="X10" s="27">
        <v>4</v>
      </c>
      <c r="Y10" s="26" t="s">
        <v>31</v>
      </c>
    </row>
    <row r="11" spans="1:25" x14ac:dyDescent="0.3">
      <c r="A11" s="59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67">
        <v>0.69483568075117375</v>
      </c>
      <c r="K11" s="70">
        <f t="shared" si="0"/>
        <v>93.954915410988093</v>
      </c>
      <c r="L11" s="70">
        <f t="shared" si="1"/>
        <v>47.665923122393345</v>
      </c>
      <c r="M11" s="70">
        <f t="shared" si="5"/>
        <v>67.890597600000007</v>
      </c>
      <c r="N11" s="68">
        <f t="shared" si="6"/>
        <v>120.31609151594604</v>
      </c>
      <c r="O11" s="69">
        <f t="shared" si="2"/>
        <v>98.433813333333319</v>
      </c>
      <c r="P11" s="69">
        <f t="shared" si="3"/>
        <v>108.10314666666666</v>
      </c>
      <c r="Q11" s="69">
        <f t="shared" si="4"/>
        <v>108.53438638693694</v>
      </c>
      <c r="R11" s="69">
        <f t="shared" si="7"/>
        <v>118.32075386964489</v>
      </c>
      <c r="S11" s="68">
        <f t="shared" si="8"/>
        <v>82.456881912331866</v>
      </c>
      <c r="T11" s="68">
        <f t="shared" si="9"/>
        <v>27.33181286677442</v>
      </c>
      <c r="U11" s="69">
        <f t="shared" si="10"/>
        <v>108.34802506414545</v>
      </c>
      <c r="V11" s="69">
        <f t="shared" si="11"/>
        <v>7.032809005717338</v>
      </c>
      <c r="X11" s="27"/>
      <c r="Y11" t="s">
        <v>32</v>
      </c>
    </row>
    <row r="12" spans="1:25" x14ac:dyDescent="0.3">
      <c r="A12" s="59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65">
        <v>0.67073170731707321</v>
      </c>
      <c r="K12" s="70">
        <f t="shared" si="0"/>
        <v>47.594474183359388</v>
      </c>
      <c r="L12" s="70">
        <f t="shared" si="1"/>
        <v>23.255975580088041</v>
      </c>
      <c r="M12" s="70">
        <f t="shared" si="5"/>
        <v>34.350881211000001</v>
      </c>
      <c r="N12" s="68">
        <f t="shared" si="6"/>
        <v>75.406210770962389</v>
      </c>
      <c r="O12" s="69">
        <f t="shared" si="2"/>
        <v>48.07721325</v>
      </c>
      <c r="P12" s="69">
        <f t="shared" si="3"/>
        <v>52.799925749999993</v>
      </c>
      <c r="Q12" s="69">
        <f t="shared" si="4"/>
        <v>53.930103286993706</v>
      </c>
      <c r="R12" s="69">
        <f t="shared" si="7"/>
        <v>61.518580731528658</v>
      </c>
      <c r="S12" s="68">
        <f t="shared" si="8"/>
        <v>45.151885436352458</v>
      </c>
      <c r="T12" s="68">
        <f t="shared" si="9"/>
        <v>19.476800314407164</v>
      </c>
      <c r="U12" s="69">
        <f t="shared" si="10"/>
        <v>54.081455754630589</v>
      </c>
      <c r="V12" s="69">
        <f t="shared" si="11"/>
        <v>4.822524823643783</v>
      </c>
    </row>
    <row r="13" spans="1:25" x14ac:dyDescent="0.3">
      <c r="A13" s="59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65">
        <v>0.703125</v>
      </c>
      <c r="K13" s="70">
        <f t="shared" si="0"/>
        <v>185.01921441982611</v>
      </c>
      <c r="L13" s="70">
        <f t="shared" si="1"/>
        <v>87.767019553705964</v>
      </c>
      <c r="M13" s="70">
        <f t="shared" si="5"/>
        <v>104.56283865600003</v>
      </c>
      <c r="N13" s="68">
        <f t="shared" si="6"/>
        <v>132.55021535571171</v>
      </c>
      <c r="O13" s="69">
        <f t="shared" si="2"/>
        <v>153.41310900000005</v>
      </c>
      <c r="P13" s="69">
        <f t="shared" si="3"/>
        <v>168.483159</v>
      </c>
      <c r="Q13" s="69">
        <f t="shared" si="4"/>
        <v>167.3633192995633</v>
      </c>
      <c r="R13" s="69">
        <f t="shared" si="7"/>
        <v>203.57429313665691</v>
      </c>
      <c r="S13" s="68">
        <f t="shared" si="8"/>
        <v>127.47482199631095</v>
      </c>
      <c r="T13" s="68">
        <f t="shared" si="9"/>
        <v>36.874060233963235</v>
      </c>
      <c r="U13" s="69">
        <f t="shared" si="10"/>
        <v>173.20847010905507</v>
      </c>
      <c r="V13" s="69">
        <f t="shared" si="11"/>
        <v>18.509685860682339</v>
      </c>
      <c r="X13" s="72">
        <v>5</v>
      </c>
      <c r="Y13" s="73" t="s">
        <v>50</v>
      </c>
    </row>
    <row r="14" spans="1:25" x14ac:dyDescent="0.3">
      <c r="A14" s="59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65">
        <v>0.39500000000000002</v>
      </c>
      <c r="K14" s="70">
        <f t="shared" si="0"/>
        <v>265.24682097801775</v>
      </c>
      <c r="L14" s="70">
        <f t="shared" si="1"/>
        <v>136.60250515356253</v>
      </c>
      <c r="M14" s="70">
        <f t="shared" si="5"/>
        <v>173.76012048000001</v>
      </c>
      <c r="N14" s="68">
        <f t="shared" si="6"/>
        <v>211.45755458962046</v>
      </c>
      <c r="O14" s="69">
        <f t="shared" si="2"/>
        <v>143.21871448000002</v>
      </c>
      <c r="P14" s="69">
        <f t="shared" si="3"/>
        <v>157.28735048000001</v>
      </c>
      <c r="Q14" s="69">
        <f t="shared" si="4"/>
        <v>156.49997963500013</v>
      </c>
      <c r="R14" s="69">
        <f t="shared" si="7"/>
        <v>159.37402756056949</v>
      </c>
      <c r="S14" s="68">
        <f t="shared" si="8"/>
        <v>196.7667503003002</v>
      </c>
      <c r="T14" s="68">
        <f t="shared" si="9"/>
        <v>47.577256174713746</v>
      </c>
      <c r="U14" s="69">
        <f t="shared" si="10"/>
        <v>154.09501803889242</v>
      </c>
      <c r="V14" s="69">
        <f t="shared" si="11"/>
        <v>6.3666464352992307</v>
      </c>
      <c r="Y14" t="s">
        <v>51</v>
      </c>
    </row>
    <row r="15" spans="1:25" x14ac:dyDescent="0.3">
      <c r="A15" s="59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65">
        <v>0.46368715083798884</v>
      </c>
      <c r="K15" s="70">
        <f t="shared" si="0"/>
        <v>179.94607160887639</v>
      </c>
      <c r="L15" s="70">
        <f t="shared" si="1"/>
        <v>86.840005642575207</v>
      </c>
      <c r="M15" s="70">
        <f t="shared" si="5"/>
        <v>106.28549670900004</v>
      </c>
      <c r="N15" s="68">
        <f t="shared" si="6"/>
        <v>138.91301245775276</v>
      </c>
      <c r="O15" s="69">
        <f t="shared" si="2"/>
        <v>102.83752939162014</v>
      </c>
      <c r="P15" s="69">
        <f t="shared" si="3"/>
        <v>112.93944779944138</v>
      </c>
      <c r="Q15" s="69">
        <f t="shared" si="4"/>
        <v>113.27093981115826</v>
      </c>
      <c r="R15" s="69">
        <f t="shared" si="7"/>
        <v>128.70085828195721</v>
      </c>
      <c r="S15" s="68">
        <f t="shared" si="8"/>
        <v>127.9961466045511</v>
      </c>
      <c r="T15" s="68">
        <f t="shared" si="9"/>
        <v>35.295725399051655</v>
      </c>
      <c r="U15" s="69">
        <f t="shared" si="10"/>
        <v>114.43719382104425</v>
      </c>
      <c r="V15" s="69">
        <f t="shared" si="11"/>
        <v>9.2413166038389889</v>
      </c>
    </row>
    <row r="16" spans="1:25" x14ac:dyDescent="0.3">
      <c r="A16" s="59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65">
        <v>0.42857142857142855</v>
      </c>
      <c r="K16" s="70">
        <f t="shared" si="0"/>
        <v>131.71618146073786</v>
      </c>
      <c r="L16" s="70">
        <f t="shared" si="1"/>
        <v>64.857571218208847</v>
      </c>
      <c r="M16" s="70">
        <f t="shared" si="5"/>
        <v>84.926668800000002</v>
      </c>
      <c r="N16" s="68">
        <f t="shared" si="6"/>
        <v>127.89441167183098</v>
      </c>
      <c r="O16" s="69">
        <f t="shared" si="2"/>
        <v>75.948617142857131</v>
      </c>
      <c r="P16" s="69">
        <f t="shared" si="3"/>
        <v>83.409188571428558</v>
      </c>
      <c r="Q16" s="69">
        <f t="shared" si="4"/>
        <v>84.264743373937264</v>
      </c>
      <c r="R16" s="69">
        <f t="shared" si="7"/>
        <v>91.839835170302948</v>
      </c>
      <c r="S16" s="68">
        <f t="shared" si="8"/>
        <v>102.34870828769442</v>
      </c>
      <c r="T16" s="68">
        <f t="shared" si="9"/>
        <v>28.390774296562665</v>
      </c>
      <c r="U16" s="69">
        <f t="shared" si="10"/>
        <v>83.865596064631475</v>
      </c>
      <c r="V16" s="69">
        <f t="shared" si="11"/>
        <v>5.6266035700193342</v>
      </c>
      <c r="X16" s="27">
        <v>6</v>
      </c>
      <c r="Y16" t="s">
        <v>33</v>
      </c>
    </row>
    <row r="17" spans="1:25" x14ac:dyDescent="0.3">
      <c r="A17" s="59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65">
        <v>0.40625</v>
      </c>
      <c r="K17" s="70">
        <f t="shared" si="0"/>
        <v>99.132429630519496</v>
      </c>
      <c r="L17" s="70">
        <f t="shared" si="1"/>
        <v>48.357453100469129</v>
      </c>
      <c r="M17" s="70">
        <f t="shared" si="5"/>
        <v>64.845619409999998</v>
      </c>
      <c r="N17" s="68">
        <f t="shared" si="6"/>
        <v>107.57805682545897</v>
      </c>
      <c r="O17" s="69">
        <f t="shared" si="2"/>
        <v>54.970107156250002</v>
      </c>
      <c r="P17" s="69">
        <f t="shared" si="3"/>
        <v>60.369921218749994</v>
      </c>
      <c r="Q17" s="69">
        <f t="shared" si="4"/>
        <v>61.464174648886299</v>
      </c>
      <c r="R17" s="69">
        <f t="shared" si="7"/>
        <v>67.362150563262205</v>
      </c>
      <c r="S17" s="68">
        <f t="shared" si="8"/>
        <v>79.978389741611906</v>
      </c>
      <c r="T17" s="68">
        <f t="shared" si="9"/>
        <v>24.277063450804398</v>
      </c>
      <c r="U17" s="69">
        <f t="shared" si="10"/>
        <v>61.041588396787134</v>
      </c>
      <c r="V17" s="69">
        <f t="shared" si="11"/>
        <v>4.4000598431437821</v>
      </c>
      <c r="X17" s="63">
        <v>7</v>
      </c>
      <c r="Y17" s="64" t="s">
        <v>34</v>
      </c>
    </row>
    <row r="18" spans="1:25" x14ac:dyDescent="0.3">
      <c r="A18" s="59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65">
        <v>0.43792325056433407</v>
      </c>
      <c r="K18" s="70">
        <f t="shared" si="0"/>
        <v>340.89925789642552</v>
      </c>
      <c r="L18" s="70">
        <f t="shared" si="1"/>
        <v>164.48904158812033</v>
      </c>
      <c r="M18" s="70">
        <f t="shared" si="5"/>
        <v>185.39802078000002</v>
      </c>
      <c r="N18" s="68">
        <f t="shared" si="6"/>
        <v>190.16332694504101</v>
      </c>
      <c r="O18" s="69">
        <f t="shared" si="2"/>
        <v>169.41648378329569</v>
      </c>
      <c r="P18" s="69">
        <f t="shared" si="3"/>
        <v>186.0585745282167</v>
      </c>
      <c r="Q18" s="69">
        <f t="shared" si="4"/>
        <v>184.38230356964721</v>
      </c>
      <c r="R18" s="69">
        <f t="shared" si="7"/>
        <v>209.81468271339196</v>
      </c>
      <c r="S18" s="68">
        <f t="shared" si="8"/>
        <v>220.23741180239674</v>
      </c>
      <c r="T18" s="68">
        <f t="shared" si="9"/>
        <v>70.330284428519775</v>
      </c>
      <c r="U18" s="69">
        <f t="shared" si="10"/>
        <v>187.4180111486379</v>
      </c>
      <c r="V18" s="69">
        <f t="shared" si="11"/>
        <v>14.463138258126341</v>
      </c>
      <c r="Y18" t="s">
        <v>35</v>
      </c>
    </row>
    <row r="19" spans="1:25" x14ac:dyDescent="0.3">
      <c r="A19" s="59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65">
        <v>0.45070422535211269</v>
      </c>
      <c r="K19" s="70">
        <f t="shared" si="0"/>
        <v>63.612743766664323</v>
      </c>
      <c r="L19" s="70">
        <f t="shared" si="1"/>
        <v>25.918800347020802</v>
      </c>
      <c r="M19" s="70">
        <f t="shared" si="5"/>
        <v>28.8032544</v>
      </c>
      <c r="N19" s="68">
        <f t="shared" si="6"/>
        <v>45.844199849688202</v>
      </c>
      <c r="O19" s="69">
        <f t="shared" si="2"/>
        <v>27.088549859154931</v>
      </c>
      <c r="P19" s="69">
        <f t="shared" si="3"/>
        <v>29.749507605633802</v>
      </c>
      <c r="Q19" s="69">
        <f t="shared" si="4"/>
        <v>30.807567373997031</v>
      </c>
      <c r="R19" s="69">
        <f t="shared" si="7"/>
        <v>44.48935660933217</v>
      </c>
      <c r="S19" s="68">
        <f t="shared" si="8"/>
        <v>41.044749590843331</v>
      </c>
      <c r="T19" s="68">
        <f t="shared" si="9"/>
        <v>15.091368633602723</v>
      </c>
      <c r="U19" s="69">
        <f t="shared" si="10"/>
        <v>33.033745362029485</v>
      </c>
      <c r="V19" s="69">
        <f t="shared" si="11"/>
        <v>6.7512677456101251</v>
      </c>
    </row>
    <row r="20" spans="1:25" x14ac:dyDescent="0.3">
      <c r="A20" s="59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65">
        <v>0.58227848101265822</v>
      </c>
      <c r="K20" s="70">
        <f t="shared" si="0"/>
        <v>115.68574643748518</v>
      </c>
      <c r="L20" s="70">
        <f t="shared" si="1"/>
        <v>57.749140557106642</v>
      </c>
      <c r="M20" s="70">
        <f t="shared" si="5"/>
        <v>78.337046208000004</v>
      </c>
      <c r="N20" s="68">
        <f t="shared" si="6"/>
        <v>125.90893913864643</v>
      </c>
      <c r="O20" s="69">
        <f t="shared" si="2"/>
        <v>95.181051625316456</v>
      </c>
      <c r="P20" s="69">
        <f t="shared" si="3"/>
        <v>104.53086023291139</v>
      </c>
      <c r="Q20" s="69">
        <f t="shared" si="4"/>
        <v>105.03252244550795</v>
      </c>
      <c r="R20" s="69">
        <f t="shared" si="7"/>
        <v>115.50652308880539</v>
      </c>
      <c r="S20" s="68">
        <f t="shared" si="8"/>
        <v>94.420218085309557</v>
      </c>
      <c r="T20" s="68">
        <f t="shared" si="9"/>
        <v>27.600718262332421</v>
      </c>
      <c r="U20" s="69">
        <f t="shared" si="10"/>
        <v>105.0627393481353</v>
      </c>
      <c r="V20" s="69">
        <f t="shared" si="11"/>
        <v>7.1938199089150379</v>
      </c>
      <c r="X20" s="63">
        <v>8</v>
      </c>
      <c r="Y20" s="64" t="s">
        <v>39</v>
      </c>
    </row>
    <row r="21" spans="1:25" x14ac:dyDescent="0.3">
      <c r="A21" s="59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65">
        <v>0.53846153846153844</v>
      </c>
      <c r="K21" s="70">
        <f t="shared" si="0"/>
        <v>109.99598540047349</v>
      </c>
      <c r="L21" s="70">
        <f t="shared" si="1"/>
        <v>56.646529284036639</v>
      </c>
      <c r="M21" s="70">
        <f t="shared" si="5"/>
        <v>80.690799957000024</v>
      </c>
      <c r="N21" s="68">
        <f t="shared" si="6"/>
        <v>137.07854076142746</v>
      </c>
      <c r="O21" s="69">
        <f t="shared" si="2"/>
        <v>90.663248361538464</v>
      </c>
      <c r="P21" s="69">
        <f t="shared" si="3"/>
        <v>99.569264900000007</v>
      </c>
      <c r="Q21" s="69">
        <f t="shared" si="4"/>
        <v>100.16394782751173</v>
      </c>
      <c r="R21" s="69">
        <f t="shared" si="7"/>
        <v>104.23310073500977</v>
      </c>
      <c r="S21" s="68">
        <f t="shared" si="8"/>
        <v>96.102963850734398</v>
      </c>
      <c r="T21" s="68">
        <f t="shared" si="9"/>
        <v>30.27523317643098</v>
      </c>
      <c r="U21" s="69">
        <f t="shared" si="10"/>
        <v>98.657390456014994</v>
      </c>
      <c r="V21" s="69">
        <f t="shared" si="11"/>
        <v>4.9521733374644148</v>
      </c>
      <c r="Y21" t="s">
        <v>42</v>
      </c>
    </row>
    <row r="22" spans="1:25" x14ac:dyDescent="0.3">
      <c r="A22" s="59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67">
        <v>0.49342105263157893</v>
      </c>
      <c r="K22" s="70">
        <f t="shared" si="0"/>
        <v>88.94440014742446</v>
      </c>
      <c r="L22" s="70">
        <f t="shared" si="1"/>
        <v>43.972015168245861</v>
      </c>
      <c r="M22" s="70">
        <f t="shared" si="5"/>
        <v>60.891684860999995</v>
      </c>
      <c r="N22" s="68">
        <f t="shared" si="6"/>
        <v>106.90952769132673</v>
      </c>
      <c r="O22" s="69">
        <f t="shared" si="2"/>
        <v>62.694325312499984</v>
      </c>
      <c r="P22" s="69">
        <f t="shared" si="3"/>
        <v>68.85290343749999</v>
      </c>
      <c r="Q22" s="69">
        <f t="shared" si="4"/>
        <v>69.880059184368903</v>
      </c>
      <c r="R22" s="69">
        <f t="shared" si="7"/>
        <v>76.459436363136234</v>
      </c>
      <c r="S22" s="68">
        <f t="shared" si="8"/>
        <v>75.179406966999267</v>
      </c>
      <c r="T22" s="68">
        <f t="shared" si="9"/>
        <v>24.363476272366743</v>
      </c>
      <c r="U22" s="69">
        <f t="shared" si="10"/>
        <v>69.471681074376278</v>
      </c>
      <c r="V22" s="69">
        <f t="shared" si="11"/>
        <v>4.8813659344298772</v>
      </c>
    </row>
    <row r="23" spans="1:25" x14ac:dyDescent="0.3">
      <c r="A23" s="59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65">
        <v>0.54658385093167705</v>
      </c>
      <c r="K23" s="70">
        <f t="shared" si="0"/>
        <v>104.47883005194718</v>
      </c>
      <c r="L23" s="70">
        <f t="shared" si="1"/>
        <v>47.761387774507611</v>
      </c>
      <c r="M23" s="70">
        <f t="shared" si="5"/>
        <v>58.235653055999997</v>
      </c>
      <c r="N23" s="68">
        <f t="shared" si="6"/>
        <v>87.811676042500451</v>
      </c>
      <c r="O23" s="69">
        <f t="shared" si="2"/>
        <v>66.419914573913047</v>
      </c>
      <c r="P23" s="69">
        <f t="shared" si="3"/>
        <v>72.944464139130432</v>
      </c>
      <c r="Q23" s="69">
        <f t="shared" si="4"/>
        <v>73.930162681484205</v>
      </c>
      <c r="R23" s="69">
        <f t="shared" si="7"/>
        <v>92.091749595943767</v>
      </c>
      <c r="S23" s="68">
        <f t="shared" si="8"/>
        <v>74.571886731238806</v>
      </c>
      <c r="T23" s="68">
        <f t="shared" si="9"/>
        <v>22.668219299249994</v>
      </c>
      <c r="U23" s="69">
        <f t="shared" si="10"/>
        <v>76.34657274761787</v>
      </c>
      <c r="V23" s="69">
        <f t="shared" si="11"/>
        <v>9.5375903281998973</v>
      </c>
    </row>
    <row r="24" spans="1:25" x14ac:dyDescent="0.3">
      <c r="A24" s="59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65">
        <v>0.61250000000000004</v>
      </c>
      <c r="K24" s="70">
        <f t="shared" si="0"/>
        <v>88.94440014742446</v>
      </c>
      <c r="L24" s="70">
        <f t="shared" si="1"/>
        <v>42.976369993304075</v>
      </c>
      <c r="M24" s="70">
        <f t="shared" si="5"/>
        <v>57.686859341999984</v>
      </c>
      <c r="N24" s="68">
        <f t="shared" si="6"/>
        <v>98.617493947276444</v>
      </c>
      <c r="O24" s="69">
        <f t="shared" si="2"/>
        <v>73.728526567499998</v>
      </c>
      <c r="P24" s="69">
        <f t="shared" si="3"/>
        <v>80.971014442499992</v>
      </c>
      <c r="Q24" s="69">
        <f t="shared" si="4"/>
        <v>81.859824675151643</v>
      </c>
      <c r="R24" s="69">
        <f t="shared" si="7"/>
        <v>94.746973314952882</v>
      </c>
      <c r="S24" s="68">
        <f t="shared" si="8"/>
        <v>72.056280857501235</v>
      </c>
      <c r="T24" s="68">
        <f t="shared" si="9"/>
        <v>22.598827981285496</v>
      </c>
      <c r="U24" s="69">
        <f t="shared" si="10"/>
        <v>82.826584750026129</v>
      </c>
      <c r="V24" s="69">
        <f t="shared" si="11"/>
        <v>7.5704704682075592</v>
      </c>
      <c r="Y24" t="s">
        <v>46</v>
      </c>
    </row>
    <row r="25" spans="1:25" x14ac:dyDescent="0.3">
      <c r="A25" s="59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65">
        <v>0.56896551724137934</v>
      </c>
      <c r="K25" s="70">
        <f t="shared" si="0"/>
        <v>58.384059465890132</v>
      </c>
      <c r="L25" s="70">
        <f t="shared" si="1"/>
        <v>24.224291211193648</v>
      </c>
      <c r="M25" s="70">
        <f t="shared" si="5"/>
        <v>27.899737680000001</v>
      </c>
      <c r="N25" s="68">
        <f t="shared" si="6"/>
        <v>46.853623579190248</v>
      </c>
      <c r="O25" s="69">
        <f t="shared" si="2"/>
        <v>33.123684000000004</v>
      </c>
      <c r="P25" s="69">
        <f t="shared" si="3"/>
        <v>36.377483999999995</v>
      </c>
      <c r="Q25" s="69">
        <f t="shared" si="4"/>
        <v>37.489859626692365</v>
      </c>
      <c r="R25" s="69">
        <f t="shared" si="7"/>
        <v>53.886758182957649</v>
      </c>
      <c r="S25" s="68">
        <f t="shared" si="8"/>
        <v>39.340427984068505</v>
      </c>
      <c r="T25" s="68">
        <f t="shared" si="9"/>
        <v>13.950761570930927</v>
      </c>
      <c r="U25" s="69">
        <f t="shared" si="10"/>
        <v>40.219446452412505</v>
      </c>
      <c r="V25" s="69">
        <f t="shared" si="11"/>
        <v>8.0522756790527303</v>
      </c>
    </row>
    <row r="26" spans="1:25" x14ac:dyDescent="0.3">
      <c r="A26" s="59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65">
        <v>0.34926470588235292</v>
      </c>
      <c r="K26" s="70">
        <f t="shared" si="0"/>
        <v>109.99598540047349</v>
      </c>
      <c r="L26" s="70">
        <f t="shared" si="1"/>
        <v>54.835816821976017</v>
      </c>
      <c r="M26" s="70">
        <f t="shared" si="5"/>
        <v>74.733761034000011</v>
      </c>
      <c r="N26" s="68">
        <f t="shared" si="6"/>
        <v>122.24595919482643</v>
      </c>
      <c r="O26" s="69">
        <f t="shared" si="2"/>
        <v>54.465827569852941</v>
      </c>
      <c r="P26" s="69">
        <f t="shared" si="3"/>
        <v>59.816105327205889</v>
      </c>
      <c r="Q26" s="69">
        <f t="shared" si="4"/>
        <v>60.913792127941662</v>
      </c>
      <c r="R26" s="69">
        <f t="shared" si="7"/>
        <v>63.709651595653597</v>
      </c>
      <c r="S26" s="68">
        <f t="shared" si="8"/>
        <v>90.452880612818987</v>
      </c>
      <c r="T26" s="68">
        <f t="shared" si="9"/>
        <v>26.964786036037506</v>
      </c>
      <c r="U26" s="69">
        <f t="shared" si="10"/>
        <v>59.726344155163517</v>
      </c>
      <c r="V26" s="69">
        <f t="shared" si="11"/>
        <v>3.3525312327349246</v>
      </c>
    </row>
    <row r="27" spans="1:25" x14ac:dyDescent="0.3">
      <c r="A27" s="59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65">
        <v>0.33214285714285713</v>
      </c>
      <c r="K27" s="70">
        <f t="shared" si="0"/>
        <v>146.78722072945141</v>
      </c>
      <c r="L27" s="70">
        <f t="shared" si="1"/>
        <v>77.550062734419853</v>
      </c>
      <c r="M27" s="70">
        <f t="shared" si="5"/>
        <v>110.20801307400001</v>
      </c>
      <c r="N27" s="68">
        <f t="shared" si="6"/>
        <v>172.89615176405852</v>
      </c>
      <c r="O27" s="69">
        <f t="shared" si="2"/>
        <v>76.381935023571415</v>
      </c>
      <c r="P27" s="69">
        <f t="shared" si="3"/>
        <v>83.885072059285704</v>
      </c>
      <c r="Q27" s="69">
        <f t="shared" si="4"/>
        <v>84.733937733562911</v>
      </c>
      <c r="R27" s="69">
        <f t="shared" si="7"/>
        <v>81.073607116089761</v>
      </c>
      <c r="S27" s="68">
        <f t="shared" si="8"/>
        <v>126.86036207548244</v>
      </c>
      <c r="T27" s="68">
        <f t="shared" si="9"/>
        <v>36.142703193170384</v>
      </c>
      <c r="U27" s="69">
        <f t="shared" si="10"/>
        <v>81.518637983127448</v>
      </c>
      <c r="V27" s="69">
        <f t="shared" si="11"/>
        <v>3.2604421666884904</v>
      </c>
    </row>
    <row r="28" spans="1:25" x14ac:dyDescent="0.3">
      <c r="A28" s="59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65">
        <v>0.34365325077399383</v>
      </c>
      <c r="K28" s="70">
        <f t="shared" si="0"/>
        <v>129.64336654416385</v>
      </c>
      <c r="L28" s="70">
        <f t="shared" si="1"/>
        <v>57.701545722342907</v>
      </c>
      <c r="M28" s="70">
        <f t="shared" si="5"/>
        <v>65.984699331000002</v>
      </c>
      <c r="N28" s="68">
        <f t="shared" si="6"/>
        <v>88.871997570816845</v>
      </c>
      <c r="O28" s="69">
        <f t="shared" si="2"/>
        <v>47.316897966873071</v>
      </c>
      <c r="P28" s="69">
        <f t="shared" si="3"/>
        <v>51.964923307430347</v>
      </c>
      <c r="Q28" s="69">
        <f t="shared" si="4"/>
        <v>53.09753788008603</v>
      </c>
      <c r="R28" s="69">
        <f t="shared" si="7"/>
        <v>65.854559551240499</v>
      </c>
      <c r="S28" s="68">
        <f t="shared" si="8"/>
        <v>85.550402292080904</v>
      </c>
      <c r="T28" s="68">
        <f t="shared" si="9"/>
        <v>27.899811990111488</v>
      </c>
      <c r="U28" s="69">
        <f t="shared" si="10"/>
        <v>54.558479676407487</v>
      </c>
      <c r="V28" s="69">
        <f t="shared" si="11"/>
        <v>6.8720959642195885</v>
      </c>
    </row>
    <row r="29" spans="1:25" x14ac:dyDescent="0.3">
      <c r="A29" s="59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22" t="s">
        <v>21</v>
      </c>
      <c r="H29" s="22">
        <v>24.5</v>
      </c>
      <c r="I29" s="22">
        <v>11.9</v>
      </c>
      <c r="J29" s="65">
        <v>0.34666666666666668</v>
      </c>
      <c r="K29" s="70">
        <f t="shared" si="0"/>
        <v>387.08448914393875</v>
      </c>
      <c r="L29" s="70">
        <f t="shared" si="1"/>
        <v>173.59158932450023</v>
      </c>
      <c r="M29" s="70">
        <f t="shared" si="5"/>
        <v>174.23858917500002</v>
      </c>
      <c r="N29" s="68">
        <f t="shared" si="6"/>
        <v>156.40114010938478</v>
      </c>
      <c r="O29" s="69">
        <f t="shared" si="2"/>
        <v>126.04017486666669</v>
      </c>
      <c r="P29" s="69">
        <f t="shared" si="3"/>
        <v>138.42133153333336</v>
      </c>
      <c r="Q29" s="69">
        <f t="shared" si="4"/>
        <v>138.15139982167074</v>
      </c>
      <c r="R29" s="69">
        <f t="shared" si="7"/>
        <v>171.61586003723787</v>
      </c>
      <c r="S29" s="68">
        <f t="shared" si="8"/>
        <v>222.82895193820593</v>
      </c>
      <c r="T29" s="68">
        <f t="shared" si="9"/>
        <v>95.102414424822385</v>
      </c>
      <c r="U29" s="69">
        <f t="shared" si="10"/>
        <v>143.55719156472716</v>
      </c>
      <c r="V29" s="69">
        <f t="shared" si="11"/>
        <v>16.953866764559631</v>
      </c>
    </row>
    <row r="30" spans="1:25" x14ac:dyDescent="0.3">
      <c r="A30" s="59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65">
        <v>0.35307517084282458</v>
      </c>
      <c r="K30" s="70">
        <f t="shared" si="0"/>
        <v>383.09972149033246</v>
      </c>
      <c r="L30" s="70">
        <f t="shared" si="1"/>
        <v>209.54021616539788</v>
      </c>
      <c r="M30" s="70">
        <f t="shared" si="5"/>
        <v>275.92971311999997</v>
      </c>
      <c r="N30" s="68">
        <f t="shared" si="6"/>
        <v>313.33010772141915</v>
      </c>
      <c r="O30" s="69">
        <f t="shared" si="2"/>
        <v>203.29102888382681</v>
      </c>
      <c r="P30" s="69">
        <f t="shared" si="3"/>
        <v>223.26067808656032</v>
      </c>
      <c r="Q30" s="69">
        <f t="shared" si="4"/>
        <v>220.28345801352725</v>
      </c>
      <c r="R30" s="69">
        <f t="shared" si="7"/>
        <v>203.45455136172177</v>
      </c>
      <c r="S30" s="68">
        <f t="shared" si="8"/>
        <v>295.47493962428734</v>
      </c>
      <c r="T30" s="68">
        <f t="shared" si="9"/>
        <v>62.776791093342261</v>
      </c>
      <c r="U30" s="69">
        <f t="shared" si="10"/>
        <v>212.57242908640904</v>
      </c>
      <c r="V30" s="69">
        <f t="shared" si="11"/>
        <v>9.2598423005865822</v>
      </c>
    </row>
    <row r="31" spans="1:25" x14ac:dyDescent="0.3">
      <c r="A31" s="59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65">
        <v>0.34420289855072461</v>
      </c>
      <c r="K31" s="70">
        <f t="shared" si="0"/>
        <v>100.8957053124434</v>
      </c>
      <c r="L31" s="70">
        <f t="shared" si="1"/>
        <v>47.379812463008413</v>
      </c>
      <c r="M31" s="70">
        <f t="shared" si="5"/>
        <v>60.191776512000011</v>
      </c>
      <c r="N31" s="68">
        <f t="shared" si="6"/>
        <v>94.893167399390066</v>
      </c>
      <c r="O31" s="69">
        <f t="shared" si="2"/>
        <v>43.231892869565215</v>
      </c>
      <c r="P31" s="69">
        <f t="shared" si="3"/>
        <v>47.478640695652167</v>
      </c>
      <c r="Q31" s="69">
        <f t="shared" si="4"/>
        <v>48.618712938934173</v>
      </c>
      <c r="R31" s="69">
        <f t="shared" si="7"/>
        <v>55.491410988053303</v>
      </c>
      <c r="S31" s="68">
        <f t="shared" si="8"/>
        <v>75.840115421710479</v>
      </c>
      <c r="T31" s="68">
        <f t="shared" si="9"/>
        <v>22.61449054019911</v>
      </c>
      <c r="U31" s="69">
        <f t="shared" si="10"/>
        <v>48.705164373051218</v>
      </c>
      <c r="V31" s="69">
        <f t="shared" si="11"/>
        <v>4.4023197933640787</v>
      </c>
    </row>
    <row r="32" spans="1:25" x14ac:dyDescent="0.3">
      <c r="A32" s="59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65">
        <v>0.5829596412556054</v>
      </c>
      <c r="K32" s="70">
        <f t="shared" si="0"/>
        <v>62.280112436143334</v>
      </c>
      <c r="L32" s="70">
        <f t="shared" si="1"/>
        <v>28.424360108786871</v>
      </c>
      <c r="M32" s="70">
        <f t="shared" si="5"/>
        <v>36.960932211000006</v>
      </c>
      <c r="N32" s="68">
        <f t="shared" si="6"/>
        <v>67.676633362222702</v>
      </c>
      <c r="O32" s="69">
        <f t="shared" si="2"/>
        <v>44.960793986547088</v>
      </c>
      <c r="P32" s="69">
        <f t="shared" si="3"/>
        <v>49.377374928251122</v>
      </c>
      <c r="Q32" s="69">
        <f t="shared" si="4"/>
        <v>50.515477833262089</v>
      </c>
      <c r="R32" s="69">
        <f t="shared" si="7"/>
        <v>63.129583927042276</v>
      </c>
      <c r="S32" s="68">
        <f t="shared" si="8"/>
        <v>48.835509529538228</v>
      </c>
      <c r="T32" s="68">
        <f t="shared" si="9"/>
        <v>16.533041929459216</v>
      </c>
      <c r="U32" s="69">
        <f t="shared" si="10"/>
        <v>51.99580766877564</v>
      </c>
      <c r="V32" s="69">
        <f t="shared" si="11"/>
        <v>6.7546272605682907</v>
      </c>
    </row>
    <row r="33" spans="1:22" x14ac:dyDescent="0.3">
      <c r="A33" s="59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65">
        <v>0.5892857142857143</v>
      </c>
      <c r="K33" s="70">
        <f t="shared" si="0"/>
        <v>53.424094875784782</v>
      </c>
      <c r="L33" s="70">
        <f t="shared" si="1"/>
        <v>23.410072466227707</v>
      </c>
      <c r="M33" s="70">
        <f t="shared" si="5"/>
        <v>29.374636031999994</v>
      </c>
      <c r="N33" s="68">
        <f t="shared" si="6"/>
        <v>54.36688852501856</v>
      </c>
      <c r="O33" s="69">
        <f t="shared" si="2"/>
        <v>36.120268799999998</v>
      </c>
      <c r="P33" s="69">
        <f t="shared" si="3"/>
        <v>39.668428799999987</v>
      </c>
      <c r="Q33" s="69">
        <f t="shared" si="4"/>
        <v>40.79655195191517</v>
      </c>
      <c r="R33" s="69">
        <f t="shared" si="7"/>
        <v>54.163778867979232</v>
      </c>
      <c r="S33" s="68">
        <f t="shared" si="8"/>
        <v>40.143922974757764</v>
      </c>
      <c r="T33" s="68">
        <f t="shared" si="9"/>
        <v>13.916312450340572</v>
      </c>
      <c r="U33" s="69">
        <f t="shared" si="10"/>
        <v>42.687257104973597</v>
      </c>
      <c r="V33" s="69">
        <f t="shared" si="11"/>
        <v>6.8469697218023642</v>
      </c>
    </row>
    <row r="34" spans="1:22" x14ac:dyDescent="0.3">
      <c r="A34" s="59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65">
        <v>0.5728952772073922</v>
      </c>
      <c r="K34" s="70">
        <f t="shared" ref="K34:K65" si="12" xml:space="preserve"> EXP(-2.134 + 2.53*LN(H34))</f>
        <v>301.63977000787838</v>
      </c>
      <c r="L34" s="70">
        <f t="shared" ref="L34:L65" si="13">(0.02453 *(H34^2.443356)*(I34^0.423602))</f>
        <v>169.9949713663205</v>
      </c>
      <c r="M34" s="70">
        <f t="shared" si="5"/>
        <v>240.43692239999999</v>
      </c>
      <c r="N34" s="68">
        <f t="shared" si="6"/>
        <v>309.5153797520847</v>
      </c>
      <c r="O34" s="69">
        <f t="shared" ref="O34:O65" si="14" xml:space="preserve"> 0.0509*J34*H34^2*I34</f>
        <v>287.42793117043118</v>
      </c>
      <c r="P34" s="69">
        <f t="shared" ref="P34:P65" si="15">((0.0559)*((J34*H34^2*I34)))</f>
        <v>315.66250201232032</v>
      </c>
      <c r="Q34" s="69">
        <f t="shared" ref="Q34:Q65" si="16">((0.0673)*((J34*H34^2*I34)^0.976))</f>
        <v>308.87501703996196</v>
      </c>
      <c r="R34" s="69">
        <f t="shared" si="7"/>
        <v>285.65886837975046</v>
      </c>
      <c r="S34" s="68">
        <f t="shared" si="8"/>
        <v>255.39676088157091</v>
      </c>
      <c r="T34" s="68">
        <f t="shared" si="9"/>
        <v>56.090336113517417</v>
      </c>
      <c r="U34" s="69">
        <f t="shared" si="10"/>
        <v>299.40607965061594</v>
      </c>
      <c r="V34" s="69">
        <f t="shared" si="11"/>
        <v>13.099560126437838</v>
      </c>
    </row>
    <row r="35" spans="1:22" x14ac:dyDescent="0.3">
      <c r="A35" s="59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65">
        <v>0.5625</v>
      </c>
      <c r="K35" s="70">
        <f t="shared" si="12"/>
        <v>76.384904972719994</v>
      </c>
      <c r="L35" s="70">
        <f t="shared" si="13"/>
        <v>44.640065364320535</v>
      </c>
      <c r="M35" s="70">
        <f t="shared" si="5"/>
        <v>79.155163035000001</v>
      </c>
      <c r="N35" s="68">
        <f t="shared" si="6"/>
        <v>178.8939172985724</v>
      </c>
      <c r="O35" s="69">
        <f t="shared" si="14"/>
        <v>92.908263093750008</v>
      </c>
      <c r="P35" s="69">
        <f t="shared" si="15"/>
        <v>102.03481153125</v>
      </c>
      <c r="Q35" s="69">
        <f t="shared" si="16"/>
        <v>102.58398022914031</v>
      </c>
      <c r="R35" s="69">
        <f t="shared" si="7"/>
        <v>88.325014836220447</v>
      </c>
      <c r="S35" s="68">
        <f t="shared" si="8"/>
        <v>94.768512667653226</v>
      </c>
      <c r="T35" s="68">
        <f t="shared" si="9"/>
        <v>50.427370177294513</v>
      </c>
      <c r="U35" s="69">
        <f t="shared" si="10"/>
        <v>96.463017422590184</v>
      </c>
      <c r="V35" s="69">
        <f t="shared" si="11"/>
        <v>6.0698937326495823</v>
      </c>
    </row>
    <row r="36" spans="1:22" x14ac:dyDescent="0.3">
      <c r="A36" s="59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65">
        <v>0.59403669724770647</v>
      </c>
      <c r="K36" s="70">
        <f t="shared" si="12"/>
        <v>301.63977000787838</v>
      </c>
      <c r="L36" s="70">
        <f t="shared" si="13"/>
        <v>158.2896177382413</v>
      </c>
      <c r="M36" s="70">
        <f t="shared" si="5"/>
        <v>203.16919942799998</v>
      </c>
      <c r="N36" s="68">
        <f t="shared" si="6"/>
        <v>240.69284895941914</v>
      </c>
      <c r="O36" s="69">
        <f t="shared" si="14"/>
        <v>251.83942010917431</v>
      </c>
      <c r="P36" s="69">
        <f t="shared" si="15"/>
        <v>276.57806648532107</v>
      </c>
      <c r="Q36" s="69">
        <f t="shared" si="16"/>
        <v>271.49088315529576</v>
      </c>
      <c r="R36" s="69">
        <f t="shared" si="7"/>
        <v>280.49740886227426</v>
      </c>
      <c r="S36" s="68">
        <f t="shared" si="8"/>
        <v>225.9478590333847</v>
      </c>
      <c r="T36" s="68">
        <f t="shared" si="9"/>
        <v>52.543279930594736</v>
      </c>
      <c r="U36" s="69">
        <f t="shared" si="10"/>
        <v>270.1014446530163</v>
      </c>
      <c r="V36" s="69">
        <f t="shared" si="11"/>
        <v>11.016519209695534</v>
      </c>
    </row>
    <row r="37" spans="1:22" x14ac:dyDescent="0.3">
      <c r="A37" s="59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65">
        <v>0.52463768115942033</v>
      </c>
      <c r="K37" s="70">
        <f t="shared" si="12"/>
        <v>135.92162636039748</v>
      </c>
      <c r="L37" s="70">
        <f t="shared" si="13"/>
        <v>65.161290026948265</v>
      </c>
      <c r="M37" s="70">
        <f t="shared" si="5"/>
        <v>81.941746176000009</v>
      </c>
      <c r="N37" s="68">
        <f t="shared" si="6"/>
        <v>118.1977344066806</v>
      </c>
      <c r="O37" s="69">
        <f t="shared" si="14"/>
        <v>89.705126066086962</v>
      </c>
      <c r="P37" s="69">
        <f t="shared" si="15"/>
        <v>98.517024500869582</v>
      </c>
      <c r="Q37" s="69">
        <f t="shared" si="16"/>
        <v>99.130695973273689</v>
      </c>
      <c r="R37" s="69">
        <f t="shared" si="7"/>
        <v>114.83186841183492</v>
      </c>
      <c r="S37" s="68">
        <f t="shared" si="8"/>
        <v>100.30559924250657</v>
      </c>
      <c r="T37" s="68">
        <f t="shared" si="9"/>
        <v>28.111312038405671</v>
      </c>
      <c r="U37" s="69">
        <f t="shared" si="10"/>
        <v>100.54617873801629</v>
      </c>
      <c r="V37" s="69">
        <f t="shared" si="11"/>
        <v>9.0516629807401703</v>
      </c>
    </row>
    <row r="38" spans="1:22" x14ac:dyDescent="0.3">
      <c r="A38" s="59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65">
        <v>0.68888888888888888</v>
      </c>
      <c r="K38" s="70">
        <f t="shared" si="12"/>
        <v>82.520191522792317</v>
      </c>
      <c r="L38" s="70">
        <f t="shared" si="13"/>
        <v>37.152565918888499</v>
      </c>
      <c r="M38" s="70">
        <f t="shared" si="5"/>
        <v>45.737704362000002</v>
      </c>
      <c r="N38" s="68">
        <f t="shared" si="6"/>
        <v>74.091144432374918</v>
      </c>
      <c r="O38" s="69">
        <f t="shared" si="14"/>
        <v>65.747025524444453</v>
      </c>
      <c r="P38" s="69">
        <f t="shared" si="15"/>
        <v>72.205475968888891</v>
      </c>
      <c r="Q38" s="69">
        <f t="shared" si="16"/>
        <v>73.199074766530771</v>
      </c>
      <c r="R38" s="69">
        <f t="shared" si="7"/>
        <v>95.249635998215126</v>
      </c>
      <c r="S38" s="68">
        <f t="shared" si="8"/>
        <v>59.875401559013937</v>
      </c>
      <c r="T38" s="68">
        <f t="shared" si="9"/>
        <v>18.914779932025112</v>
      </c>
      <c r="U38" s="69">
        <f t="shared" si="10"/>
        <v>76.600303064519807</v>
      </c>
      <c r="V38" s="69">
        <f t="shared" si="11"/>
        <v>11.1408495116985</v>
      </c>
    </row>
    <row r="39" spans="1:22" x14ac:dyDescent="0.3">
      <c r="A39" s="59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65">
        <v>0.73076923076923073</v>
      </c>
      <c r="K39" s="70">
        <f t="shared" si="12"/>
        <v>77.891892706831428</v>
      </c>
      <c r="L39" s="70">
        <f t="shared" si="13"/>
        <v>34.713435417794351</v>
      </c>
      <c r="M39" s="70">
        <f t="shared" si="5"/>
        <v>42.460895100000002</v>
      </c>
      <c r="N39" s="68">
        <f t="shared" si="6"/>
        <v>69.475543922911626</v>
      </c>
      <c r="O39" s="69">
        <f t="shared" si="14"/>
        <v>64.747344999999996</v>
      </c>
      <c r="P39" s="69">
        <f t="shared" si="15"/>
        <v>71.107594999999989</v>
      </c>
      <c r="Q39" s="69">
        <f t="shared" si="16"/>
        <v>72.112598661352052</v>
      </c>
      <c r="R39" s="69">
        <f t="shared" si="7"/>
        <v>95.790438943571061</v>
      </c>
      <c r="S39" s="68">
        <f t="shared" si="8"/>
        <v>56.135441786884357</v>
      </c>
      <c r="T39" s="68">
        <f t="shared" si="9"/>
        <v>18.00831103685751</v>
      </c>
      <c r="U39" s="69">
        <f t="shared" si="10"/>
        <v>75.939494401230775</v>
      </c>
      <c r="V39" s="69">
        <f t="shared" si="11"/>
        <v>11.803776834874258</v>
      </c>
    </row>
    <row r="40" spans="1:22" x14ac:dyDescent="0.3">
      <c r="A40" s="59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65">
        <v>0.70329670329670335</v>
      </c>
      <c r="K40" s="70">
        <f t="shared" si="12"/>
        <v>84.098977486623539</v>
      </c>
      <c r="L40" s="70">
        <f t="shared" si="13"/>
        <v>33.939793484914127</v>
      </c>
      <c r="M40" s="70">
        <f t="shared" si="5"/>
        <v>35.916058055999997</v>
      </c>
      <c r="N40" s="68">
        <f t="shared" si="6"/>
        <v>50.85607443045744</v>
      </c>
      <c r="O40" s="69">
        <f t="shared" si="14"/>
        <v>52.708397573626378</v>
      </c>
      <c r="P40" s="69">
        <f t="shared" si="15"/>
        <v>57.886039771428564</v>
      </c>
      <c r="Q40" s="69">
        <f t="shared" si="16"/>
        <v>58.994728426745795</v>
      </c>
      <c r="R40" s="69">
        <f t="shared" si="7"/>
        <v>90.677969765650957</v>
      </c>
      <c r="S40" s="68">
        <f t="shared" si="8"/>
        <v>51.202725864498774</v>
      </c>
      <c r="T40" s="68">
        <f t="shared" si="9"/>
        <v>20.087151272843407</v>
      </c>
      <c r="U40" s="69">
        <f t="shared" si="10"/>
        <v>65.06678388436292</v>
      </c>
      <c r="V40" s="69">
        <f t="shared" si="11"/>
        <v>14.97577625656772</v>
      </c>
    </row>
    <row r="41" spans="1:22" x14ac:dyDescent="0.3">
      <c r="A41" s="59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65">
        <v>0.6875</v>
      </c>
      <c r="K41" s="70">
        <f t="shared" si="12"/>
        <v>111.87330311452482</v>
      </c>
      <c r="L41" s="70">
        <f t="shared" si="13"/>
        <v>50.828592880773257</v>
      </c>
      <c r="M41" s="70">
        <f t="shared" si="5"/>
        <v>60.9215175</v>
      </c>
      <c r="N41" s="68">
        <f t="shared" si="6"/>
        <v>88.873591177433241</v>
      </c>
      <c r="O41" s="69">
        <f t="shared" si="14"/>
        <v>87.396890625000012</v>
      </c>
      <c r="P41" s="69">
        <f t="shared" si="15"/>
        <v>95.982046874999995</v>
      </c>
      <c r="Q41" s="69">
        <f t="shared" si="16"/>
        <v>96.640370624522191</v>
      </c>
      <c r="R41" s="69">
        <f t="shared" si="7"/>
        <v>124.43735494093484</v>
      </c>
      <c r="S41" s="68">
        <f t="shared" si="8"/>
        <v>78.124251168182823</v>
      </c>
      <c r="T41" s="68">
        <f t="shared" si="9"/>
        <v>23.955864756426688</v>
      </c>
      <c r="U41" s="69">
        <f t="shared" si="10"/>
        <v>101.11416576636425</v>
      </c>
      <c r="V41" s="69">
        <f t="shared" si="11"/>
        <v>13.950701396909842</v>
      </c>
    </row>
    <row r="42" spans="1:22" x14ac:dyDescent="0.3">
      <c r="A42" s="59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22" t="s">
        <v>21</v>
      </c>
      <c r="H42" s="22">
        <v>12.3</v>
      </c>
      <c r="I42" s="22">
        <v>10.199999999999999</v>
      </c>
      <c r="J42" s="65">
        <v>0.72023809523809523</v>
      </c>
      <c r="K42" s="70">
        <f t="shared" si="12"/>
        <v>67.713538232431915</v>
      </c>
      <c r="L42" s="70">
        <f t="shared" si="13"/>
        <v>30.19734714695657</v>
      </c>
      <c r="M42" s="70">
        <f t="shared" si="5"/>
        <v>37.642253094000004</v>
      </c>
      <c r="N42" s="68">
        <f t="shared" si="6"/>
        <v>64.998598185869355</v>
      </c>
      <c r="O42" s="69">
        <f t="shared" si="14"/>
        <v>56.572355989285718</v>
      </c>
      <c r="P42" s="69">
        <f t="shared" si="15"/>
        <v>62.129561882142852</v>
      </c>
      <c r="Q42" s="69">
        <f t="shared" si="16"/>
        <v>63.212107769748243</v>
      </c>
      <c r="R42" s="69">
        <f t="shared" si="7"/>
        <v>83.631770709542266</v>
      </c>
      <c r="S42" s="68">
        <f t="shared" si="8"/>
        <v>50.13793416481446</v>
      </c>
      <c r="T42" s="68">
        <f t="shared" si="9"/>
        <v>16.458358435219164</v>
      </c>
      <c r="U42" s="69">
        <f t="shared" si="10"/>
        <v>66.386449087679765</v>
      </c>
      <c r="V42" s="69">
        <f t="shared" si="11"/>
        <v>10.270285690632184</v>
      </c>
    </row>
    <row r="43" spans="1:22" x14ac:dyDescent="0.3">
      <c r="A43" s="59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22" t="s">
        <v>21</v>
      </c>
      <c r="H43" s="22">
        <v>14.5</v>
      </c>
      <c r="I43" s="22">
        <v>11.2</v>
      </c>
      <c r="J43" s="65">
        <v>0.73195876288659789</v>
      </c>
      <c r="K43" s="70">
        <f t="shared" si="12"/>
        <v>102.67781571633475</v>
      </c>
      <c r="L43" s="70">
        <f t="shared" si="13"/>
        <v>46.9660328480659</v>
      </c>
      <c r="M43" s="70">
        <f t="shared" si="5"/>
        <v>57.440636399999995</v>
      </c>
      <c r="N43" s="68">
        <f t="shared" si="6"/>
        <v>87.246067895806874</v>
      </c>
      <c r="O43" s="69">
        <f t="shared" si="14"/>
        <v>87.73207958762886</v>
      </c>
      <c r="P43" s="69">
        <f t="shared" si="15"/>
        <v>96.350162061855656</v>
      </c>
      <c r="Q43" s="69">
        <f t="shared" si="16"/>
        <v>97.002098660440055</v>
      </c>
      <c r="R43" s="69">
        <f t="shared" si="7"/>
        <v>124.31352956330909</v>
      </c>
      <c r="S43" s="68">
        <f t="shared" si="8"/>
        <v>73.582638215051873</v>
      </c>
      <c r="T43" s="68">
        <f t="shared" si="9"/>
        <v>22.373123208054242</v>
      </c>
      <c r="U43" s="69">
        <f t="shared" si="10"/>
        <v>101.3494674683084</v>
      </c>
      <c r="V43" s="69">
        <f t="shared" si="11"/>
        <v>13.753854647830023</v>
      </c>
    </row>
    <row r="44" spans="1:22" x14ac:dyDescent="0.3">
      <c r="A44" s="59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22" t="s">
        <v>21</v>
      </c>
      <c r="H44" s="22">
        <v>12.9</v>
      </c>
      <c r="I44" s="22">
        <v>17</v>
      </c>
      <c r="J44" s="65">
        <v>0.6785714285714286</v>
      </c>
      <c r="K44" s="70">
        <f t="shared" si="12"/>
        <v>76.384904972719994</v>
      </c>
      <c r="L44" s="70">
        <f t="shared" si="13"/>
        <v>42.119596727585318</v>
      </c>
      <c r="M44" s="70">
        <f t="shared" si="5"/>
        <v>69.007065209999993</v>
      </c>
      <c r="N44" s="68">
        <f t="shared" si="6"/>
        <v>145.75417804492005</v>
      </c>
      <c r="O44" s="69">
        <f t="shared" si="14"/>
        <v>97.710603107142873</v>
      </c>
      <c r="P44" s="69">
        <f t="shared" si="15"/>
        <v>107.30889417857144</v>
      </c>
      <c r="Q44" s="69">
        <f t="shared" si="16"/>
        <v>107.75603481641892</v>
      </c>
      <c r="R44" s="69">
        <f t="shared" si="7"/>
        <v>103.17418609997182</v>
      </c>
      <c r="S44" s="68">
        <f t="shared" si="8"/>
        <v>83.316436238806347</v>
      </c>
      <c r="T44" s="68">
        <f t="shared" si="9"/>
        <v>38.237597376446757</v>
      </c>
      <c r="U44" s="69">
        <f t="shared" si="10"/>
        <v>103.98742955052626</v>
      </c>
      <c r="V44" s="69">
        <f t="shared" si="11"/>
        <v>4.0402483845580512</v>
      </c>
    </row>
    <row r="45" spans="1:22" x14ac:dyDescent="0.3">
      <c r="A45" s="59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22" t="s">
        <v>21</v>
      </c>
      <c r="H45" s="22">
        <v>17</v>
      </c>
      <c r="I45" s="22">
        <v>15.3</v>
      </c>
      <c r="J45" s="65">
        <v>0.70670391061452509</v>
      </c>
      <c r="K45" s="70">
        <f t="shared" si="12"/>
        <v>153.55053951044977</v>
      </c>
      <c r="L45" s="70">
        <f t="shared" si="13"/>
        <v>79.06057387607143</v>
      </c>
      <c r="M45" s="70">
        <f t="shared" si="5"/>
        <v>107.8585281</v>
      </c>
      <c r="N45" s="68">
        <f t="shared" si="6"/>
        <v>161.43154858344235</v>
      </c>
      <c r="O45" s="69">
        <f t="shared" si="14"/>
        <v>159.05398349162013</v>
      </c>
      <c r="P45" s="69">
        <f t="shared" si="15"/>
        <v>174.67814689944134</v>
      </c>
      <c r="Q45" s="69">
        <f t="shared" si="16"/>
        <v>173.36682268688386</v>
      </c>
      <c r="R45" s="69">
        <f t="shared" si="7"/>
        <v>186.17304126747507</v>
      </c>
      <c r="S45" s="68">
        <f t="shared" si="8"/>
        <v>125.47529751749089</v>
      </c>
      <c r="T45" s="68">
        <f t="shared" si="9"/>
        <v>33.711082521551162</v>
      </c>
      <c r="U45" s="69">
        <f t="shared" si="10"/>
        <v>173.31799858635509</v>
      </c>
      <c r="V45" s="69">
        <f t="shared" si="11"/>
        <v>9.6250537165075993</v>
      </c>
    </row>
    <row r="46" spans="1:22" x14ac:dyDescent="0.3">
      <c r="A46" s="59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22" t="s">
        <v>21</v>
      </c>
      <c r="H46" s="22">
        <v>23.5</v>
      </c>
      <c r="I46" s="22">
        <v>16.600000000000001</v>
      </c>
      <c r="J46" s="65">
        <v>0.68503937007874016</v>
      </c>
      <c r="K46" s="70">
        <f t="shared" si="12"/>
        <v>348.35116489607253</v>
      </c>
      <c r="L46" s="70">
        <f t="shared" si="13"/>
        <v>180.52803799623268</v>
      </c>
      <c r="M46" s="70">
        <f t="shared" si="5"/>
        <v>223.61916855000001</v>
      </c>
      <c r="N46" s="68">
        <f t="shared" si="6"/>
        <v>247.22096916355756</v>
      </c>
      <c r="O46" s="69">
        <f t="shared" si="14"/>
        <v>319.65177956692924</v>
      </c>
      <c r="P46" s="69">
        <f t="shared" si="15"/>
        <v>351.05175791338587</v>
      </c>
      <c r="Q46" s="69">
        <f t="shared" si="16"/>
        <v>342.62842052046557</v>
      </c>
      <c r="R46" s="69">
        <f t="shared" si="7"/>
        <v>366.52302989704026</v>
      </c>
      <c r="S46" s="68">
        <f t="shared" si="8"/>
        <v>249.92983515146571</v>
      </c>
      <c r="T46" s="68">
        <f t="shared" si="9"/>
        <v>61.65013529795911</v>
      </c>
      <c r="U46" s="69">
        <f t="shared" si="10"/>
        <v>344.96374697445526</v>
      </c>
      <c r="V46" s="69">
        <f t="shared" si="11"/>
        <v>16.941192409442198</v>
      </c>
    </row>
    <row r="47" spans="1:22" x14ac:dyDescent="0.3">
      <c r="A47" s="59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22" t="s">
        <v>21</v>
      </c>
      <c r="H47" s="22">
        <v>20.2</v>
      </c>
      <c r="I47" s="22">
        <v>16.2</v>
      </c>
      <c r="J47" s="65">
        <v>0.69020501138952162</v>
      </c>
      <c r="K47" s="70">
        <f t="shared" si="12"/>
        <v>237.54972955356067</v>
      </c>
      <c r="L47" s="70">
        <f t="shared" si="13"/>
        <v>123.44929896716387</v>
      </c>
      <c r="M47" s="70">
        <f t="shared" si="5"/>
        <v>161.24377946399997</v>
      </c>
      <c r="N47" s="68">
        <f t="shared" si="6"/>
        <v>206.76636269391966</v>
      </c>
      <c r="O47" s="69">
        <f t="shared" si="14"/>
        <v>232.2274984728929</v>
      </c>
      <c r="P47" s="69">
        <f t="shared" si="15"/>
        <v>255.03962995353069</v>
      </c>
      <c r="Q47" s="69">
        <f t="shared" si="16"/>
        <v>250.83620713645789</v>
      </c>
      <c r="R47" s="69">
        <f t="shared" si="7"/>
        <v>266.28801370515157</v>
      </c>
      <c r="S47" s="68">
        <f t="shared" si="8"/>
        <v>182.25229266966105</v>
      </c>
      <c r="T47" s="68">
        <f t="shared" si="9"/>
        <v>43.468079813155583</v>
      </c>
      <c r="U47" s="69">
        <f t="shared" si="10"/>
        <v>251.09783731700827</v>
      </c>
      <c r="V47" s="69">
        <f t="shared" si="11"/>
        <v>12.272299360097039</v>
      </c>
    </row>
    <row r="48" spans="1:22" x14ac:dyDescent="0.3">
      <c r="A48" s="59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22" t="s">
        <v>57</v>
      </c>
      <c r="H48" s="22">
        <v>13.8</v>
      </c>
      <c r="I48" s="22">
        <v>12.1</v>
      </c>
      <c r="J48" s="65">
        <v>0.31835205992509363</v>
      </c>
      <c r="K48" s="70">
        <f t="shared" si="12"/>
        <v>90.596133738718223</v>
      </c>
      <c r="L48" s="70">
        <f t="shared" si="13"/>
        <v>43.002925492778104</v>
      </c>
      <c r="M48" s="70">
        <f t="shared" si="5"/>
        <v>56.209375332000008</v>
      </c>
      <c r="N48" s="68">
        <f t="shared" si="6"/>
        <v>93.468464691857704</v>
      </c>
      <c r="O48" s="69">
        <f t="shared" si="14"/>
        <v>37.339542269662928</v>
      </c>
      <c r="P48" s="69">
        <f t="shared" si="15"/>
        <v>41.007473730337082</v>
      </c>
      <c r="Q48" s="69">
        <f t="shared" si="16"/>
        <v>42.140088438094011</v>
      </c>
      <c r="R48" s="69">
        <f t="shared" si="7"/>
        <v>46.899601634965528</v>
      </c>
      <c r="S48" s="68">
        <f t="shared" si="8"/>
        <v>70.819224813838503</v>
      </c>
      <c r="T48" s="68">
        <f t="shared" si="9"/>
        <v>21.744587852359071</v>
      </c>
      <c r="U48" s="69">
        <f t="shared" si="10"/>
        <v>41.846676518264886</v>
      </c>
      <c r="V48" s="69">
        <f t="shared" si="11"/>
        <v>3.4145520659329733</v>
      </c>
    </row>
    <row r="49" spans="1:22" x14ac:dyDescent="0.3">
      <c r="A49" s="59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22" t="s">
        <v>57</v>
      </c>
      <c r="H49" s="22">
        <v>17.2</v>
      </c>
      <c r="I49" s="22">
        <v>13.7</v>
      </c>
      <c r="J49" s="65">
        <v>0.31879194630872482</v>
      </c>
      <c r="K49" s="70">
        <f t="shared" si="12"/>
        <v>158.16214501221418</v>
      </c>
      <c r="L49" s="70">
        <f t="shared" si="13"/>
        <v>77.633738041434995</v>
      </c>
      <c r="M49" s="70">
        <f t="shared" si="5"/>
        <v>98.865024143999989</v>
      </c>
      <c r="N49" s="68">
        <f t="shared" si="6"/>
        <v>138.39907622445651</v>
      </c>
      <c r="O49" s="69">
        <f t="shared" si="14"/>
        <v>65.766175114093954</v>
      </c>
      <c r="P49" s="69">
        <f t="shared" si="15"/>
        <v>72.226506657718105</v>
      </c>
      <c r="Q49" s="69">
        <f t="shared" si="16"/>
        <v>73.219883097835918</v>
      </c>
      <c r="R49" s="69">
        <f t="shared" si="7"/>
        <v>77.978185173516053</v>
      </c>
      <c r="S49" s="68">
        <f t="shared" si="8"/>
        <v>118.26499585552642</v>
      </c>
      <c r="T49" s="68">
        <f t="shared" si="9"/>
        <v>31.719165015400034</v>
      </c>
      <c r="U49" s="69">
        <f t="shared" si="10"/>
        <v>72.297687510791008</v>
      </c>
      <c r="V49" s="69">
        <f t="shared" si="11"/>
        <v>4.3527066090836311</v>
      </c>
    </row>
    <row r="50" spans="1:22" x14ac:dyDescent="0.3">
      <c r="A50" s="59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22" t="s">
        <v>57</v>
      </c>
      <c r="H50" s="22">
        <v>10.9</v>
      </c>
      <c r="I50" s="22">
        <v>9.6999999999999993</v>
      </c>
      <c r="J50" s="65">
        <v>0.37037037037037035</v>
      </c>
      <c r="K50" s="70">
        <f t="shared" si="12"/>
        <v>49.877492892342957</v>
      </c>
      <c r="L50" s="70">
        <f t="shared" si="13"/>
        <v>22.003830290027128</v>
      </c>
      <c r="M50" s="70">
        <f t="shared" si="5"/>
        <v>28.111883600999999</v>
      </c>
      <c r="N50" s="68">
        <f t="shared" si="6"/>
        <v>53.823031034736417</v>
      </c>
      <c r="O50" s="69">
        <f t="shared" si="14"/>
        <v>21.725948629629631</v>
      </c>
      <c r="P50" s="69">
        <f t="shared" si="15"/>
        <v>23.860128259259252</v>
      </c>
      <c r="Q50" s="69">
        <f t="shared" si="16"/>
        <v>24.839895647112268</v>
      </c>
      <c r="R50" s="69">
        <f t="shared" si="7"/>
        <v>31.127140603422081</v>
      </c>
      <c r="S50" s="68">
        <f t="shared" si="8"/>
        <v>38.454059454526629</v>
      </c>
      <c r="T50" s="68">
        <f t="shared" si="9"/>
        <v>13.640663106052926</v>
      </c>
      <c r="U50" s="69">
        <f t="shared" si="10"/>
        <v>25.388278284855808</v>
      </c>
      <c r="V50" s="69">
        <f t="shared" si="11"/>
        <v>3.4993987066751249</v>
      </c>
    </row>
    <row r="51" spans="1:22" x14ac:dyDescent="0.3">
      <c r="A51" s="59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22" t="s">
        <v>57</v>
      </c>
      <c r="H51" s="22">
        <v>19.899999999999999</v>
      </c>
      <c r="I51" s="22">
        <v>14.3</v>
      </c>
      <c r="J51" s="65">
        <v>0.3423180592991914</v>
      </c>
      <c r="K51" s="70">
        <f t="shared" si="12"/>
        <v>228.72511727018087</v>
      </c>
      <c r="L51" s="70">
        <f t="shared" si="13"/>
        <v>112.89134874571656</v>
      </c>
      <c r="M51" s="70">
        <f t="shared" si="5"/>
        <v>138.136168599</v>
      </c>
      <c r="N51" s="68">
        <f t="shared" si="6"/>
        <v>169.22672440316123</v>
      </c>
      <c r="O51" s="69">
        <f t="shared" si="14"/>
        <v>98.67105777601077</v>
      </c>
      <c r="P51" s="69">
        <f t="shared" si="15"/>
        <v>108.36369606442048</v>
      </c>
      <c r="Q51" s="69">
        <f t="shared" si="16"/>
        <v>108.78968964689754</v>
      </c>
      <c r="R51" s="69">
        <f t="shared" si="7"/>
        <v>116.2039395827758</v>
      </c>
      <c r="S51" s="68">
        <f t="shared" si="8"/>
        <v>162.24483975451469</v>
      </c>
      <c r="T51" s="68">
        <f t="shared" si="9"/>
        <v>43.259013833671752</v>
      </c>
      <c r="U51" s="69">
        <f t="shared" si="10"/>
        <v>108.00709576752615</v>
      </c>
      <c r="V51" s="69">
        <f t="shared" si="11"/>
        <v>6.2267461579542029</v>
      </c>
    </row>
    <row r="52" spans="1:22" x14ac:dyDescent="0.3">
      <c r="A52" s="59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22" t="s">
        <v>57</v>
      </c>
      <c r="H52" s="22">
        <v>21.1</v>
      </c>
      <c r="I52" s="22">
        <v>9.6999999999999993</v>
      </c>
      <c r="J52" s="65">
        <v>0.38653366583541149</v>
      </c>
      <c r="K52" s="70">
        <f t="shared" si="12"/>
        <v>265.24682097801775</v>
      </c>
      <c r="L52" s="70">
        <f t="shared" si="13"/>
        <v>110.50692931688381</v>
      </c>
      <c r="M52" s="70">
        <f t="shared" si="5"/>
        <v>105.34207304100001</v>
      </c>
      <c r="N52" s="68">
        <f t="shared" si="6"/>
        <v>100.15540479617648</v>
      </c>
      <c r="O52" s="69">
        <f t="shared" si="14"/>
        <v>84.965330826683285</v>
      </c>
      <c r="P52" s="69">
        <f t="shared" si="15"/>
        <v>93.311630514962602</v>
      </c>
      <c r="Q52" s="69">
        <f t="shared" si="16"/>
        <v>94.015283361740316</v>
      </c>
      <c r="R52" s="69">
        <f t="shared" si="7"/>
        <v>131.33631326442898</v>
      </c>
      <c r="S52" s="68">
        <f t="shared" si="8"/>
        <v>145.31280703301951</v>
      </c>
      <c r="T52" s="68">
        <f t="shared" si="9"/>
        <v>69.34058583757141</v>
      </c>
      <c r="U52" s="69">
        <f t="shared" si="10"/>
        <v>100.90713949195379</v>
      </c>
      <c r="V52" s="69">
        <f t="shared" si="11"/>
        <v>17.925298585621299</v>
      </c>
    </row>
    <row r="53" spans="1:22" x14ac:dyDescent="0.3">
      <c r="A53" s="59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22" t="s">
        <v>57</v>
      </c>
      <c r="H53" s="22">
        <v>17.7</v>
      </c>
      <c r="I53" s="22">
        <v>9</v>
      </c>
      <c r="J53" s="65">
        <v>0.39117647058823529</v>
      </c>
      <c r="K53" s="70">
        <f t="shared" si="12"/>
        <v>170.05442589514973</v>
      </c>
      <c r="L53" s="70">
        <f t="shared" si="13"/>
        <v>69.688248904067009</v>
      </c>
      <c r="M53" s="70">
        <f t="shared" si="5"/>
        <v>68.778746729999995</v>
      </c>
      <c r="N53" s="68">
        <f t="shared" si="6"/>
        <v>75.919625503958201</v>
      </c>
      <c r="O53" s="69">
        <f t="shared" si="14"/>
        <v>56.140922991176467</v>
      </c>
      <c r="P53" s="69">
        <f t="shared" si="15"/>
        <v>61.655748432352929</v>
      </c>
      <c r="Q53" s="69">
        <f t="shared" si="16"/>
        <v>62.741565081542355</v>
      </c>
      <c r="R53" s="69">
        <f t="shared" si="7"/>
        <v>89.515279084309725</v>
      </c>
      <c r="S53" s="68">
        <f t="shared" si="8"/>
        <v>96.110261758293717</v>
      </c>
      <c r="T53" s="68">
        <f t="shared" si="9"/>
        <v>42.780064513929744</v>
      </c>
      <c r="U53" s="69">
        <f t="shared" si="10"/>
        <v>67.513378897345376</v>
      </c>
      <c r="V53" s="69">
        <f t="shared" si="11"/>
        <v>12.946991995556253</v>
      </c>
    </row>
    <row r="54" spans="1:22" x14ac:dyDescent="0.3">
      <c r="A54" s="59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22" t="s">
        <v>60</v>
      </c>
      <c r="H54" s="22">
        <v>10.8</v>
      </c>
      <c r="I54" s="22">
        <v>6.5</v>
      </c>
      <c r="J54" s="65">
        <v>0.59210526315789469</v>
      </c>
      <c r="K54" s="70">
        <f t="shared" si="12"/>
        <v>48.72789795466781</v>
      </c>
      <c r="L54" s="70">
        <f t="shared" si="13"/>
        <v>18.158141890477101</v>
      </c>
      <c r="M54" s="70">
        <f t="shared" si="5"/>
        <v>18.493796880000001</v>
      </c>
      <c r="N54" s="68">
        <f t="shared" si="6"/>
        <v>29.349172169772711</v>
      </c>
      <c r="O54" s="69">
        <f t="shared" si="14"/>
        <v>22.849545789473684</v>
      </c>
      <c r="P54" s="69">
        <f t="shared" si="15"/>
        <v>25.094098421052635</v>
      </c>
      <c r="Q54" s="69">
        <f t="shared" si="16"/>
        <v>26.092940166729182</v>
      </c>
      <c r="R54" s="69">
        <f t="shared" si="7"/>
        <v>44.160502331098371</v>
      </c>
      <c r="S54" s="68">
        <f t="shared" si="8"/>
        <v>28.682252223729407</v>
      </c>
      <c r="T54" s="68">
        <f t="shared" si="9"/>
        <v>12.418073678940257</v>
      </c>
      <c r="U54" s="69">
        <f t="shared" si="10"/>
        <v>29.549271677088466</v>
      </c>
      <c r="V54" s="69">
        <f t="shared" si="11"/>
        <v>8.5171765339908063</v>
      </c>
    </row>
    <row r="55" spans="1:22" x14ac:dyDescent="0.3">
      <c r="A55" s="59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22" t="s">
        <v>60</v>
      </c>
      <c r="H55" s="29">
        <f>SQRT(19.2^2+19.6^2)</f>
        <v>27.437201023428027</v>
      </c>
      <c r="I55" s="22">
        <v>9.1</v>
      </c>
      <c r="J55" s="65">
        <v>0.59826589595375723</v>
      </c>
      <c r="K55" s="70">
        <f t="shared" si="12"/>
        <v>515.48411032134572</v>
      </c>
      <c r="L55" s="70">
        <f t="shared" si="13"/>
        <v>204.32692217667994</v>
      </c>
      <c r="M55" s="70">
        <f t="shared" si="5"/>
        <v>167.10375864</v>
      </c>
      <c r="N55" s="68">
        <f t="shared" si="6"/>
        <v>116.54812705121343</v>
      </c>
      <c r="O55" s="69">
        <f t="shared" si="14"/>
        <v>208.60899544508669</v>
      </c>
      <c r="P55" s="69">
        <f t="shared" si="15"/>
        <v>229.10103821965313</v>
      </c>
      <c r="Q55" s="69">
        <f t="shared" si="16"/>
        <v>225.90588651477634</v>
      </c>
      <c r="R55" s="69">
        <f t="shared" si="7"/>
        <v>358.04026274085197</v>
      </c>
      <c r="S55" s="68">
        <f t="shared" si="8"/>
        <v>250.8657295473098</v>
      </c>
      <c r="T55" s="68">
        <f t="shared" si="9"/>
        <v>155.92148195929383</v>
      </c>
      <c r="U55" s="69">
        <f t="shared" si="10"/>
        <v>255.41404573009206</v>
      </c>
      <c r="V55" s="69">
        <f t="shared" si="11"/>
        <v>59.761942268140523</v>
      </c>
    </row>
    <row r="56" spans="1:22" x14ac:dyDescent="0.3">
      <c r="A56" s="59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22" t="s">
        <v>60</v>
      </c>
      <c r="H56" s="22">
        <v>24.3</v>
      </c>
      <c r="I56" s="22">
        <v>10.1</v>
      </c>
      <c r="J56" s="65">
        <v>0.57894736842105265</v>
      </c>
      <c r="K56" s="70">
        <f t="shared" si="12"/>
        <v>379.13986213078118</v>
      </c>
      <c r="L56" s="70">
        <f t="shared" si="13"/>
        <v>158.73017425291636</v>
      </c>
      <c r="M56" s="70">
        <f t="shared" si="5"/>
        <v>145.47860795700001</v>
      </c>
      <c r="N56" s="68">
        <f t="shared" si="6"/>
        <v>121.48913357677657</v>
      </c>
      <c r="O56" s="69">
        <f t="shared" si="14"/>
        <v>175.74816026842109</v>
      </c>
      <c r="P56" s="69">
        <f t="shared" si="15"/>
        <v>193.0122231631579</v>
      </c>
      <c r="Q56" s="69">
        <f t="shared" si="16"/>
        <v>191.10494163438921</v>
      </c>
      <c r="R56" s="69">
        <f t="shared" si="7"/>
        <v>277.14464986903852</v>
      </c>
      <c r="S56" s="68">
        <f t="shared" si="8"/>
        <v>201.20944447936853</v>
      </c>
      <c r="T56" s="68">
        <f t="shared" si="9"/>
        <v>103.59171785725314</v>
      </c>
      <c r="U56" s="69">
        <f t="shared" si="10"/>
        <v>209.25249373375166</v>
      </c>
      <c r="V56" s="69">
        <f t="shared" si="11"/>
        <v>39.764825100393168</v>
      </c>
    </row>
    <row r="57" spans="1:22" x14ac:dyDescent="0.3">
      <c r="A57" s="59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22" t="s">
        <v>60</v>
      </c>
      <c r="H57" s="22">
        <v>16.2</v>
      </c>
      <c r="I57" s="22">
        <v>7.2</v>
      </c>
      <c r="J57" s="65">
        <v>0.56907894736842102</v>
      </c>
      <c r="K57" s="70">
        <f t="shared" si="12"/>
        <v>135.92162636039748</v>
      </c>
      <c r="L57" s="70">
        <f t="shared" si="13"/>
        <v>51.067085937229116</v>
      </c>
      <c r="M57" s="70">
        <f t="shared" si="5"/>
        <v>46.092232224</v>
      </c>
      <c r="N57" s="68">
        <f t="shared" si="6"/>
        <v>50.059561221684163</v>
      </c>
      <c r="O57" s="69">
        <f t="shared" si="14"/>
        <v>54.73345045263158</v>
      </c>
      <c r="P57" s="69">
        <f t="shared" si="15"/>
        <v>60.110017294736842</v>
      </c>
      <c r="Q57" s="69">
        <f t="shared" si="16"/>
        <v>61.205897152228495</v>
      </c>
      <c r="R57" s="69">
        <f t="shared" si="7"/>
        <v>103.07093936171739</v>
      </c>
      <c r="S57" s="68">
        <f t="shared" si="8"/>
        <v>70.785126435827692</v>
      </c>
      <c r="T57" s="68">
        <f t="shared" si="9"/>
        <v>37.652532522826675</v>
      </c>
      <c r="U57" s="69">
        <f t="shared" si="10"/>
        <v>69.780076065328586</v>
      </c>
      <c r="V57" s="69">
        <f t="shared" si="11"/>
        <v>19.375945796322167</v>
      </c>
    </row>
    <row r="58" spans="1:22" x14ac:dyDescent="0.3">
      <c r="A58" s="59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22" t="s">
        <v>60</v>
      </c>
      <c r="H58" s="29">
        <f>SQRT(6.7^2+13^2)</f>
        <v>14.624978632463023</v>
      </c>
      <c r="I58" s="22">
        <v>7.9</v>
      </c>
      <c r="J58" s="65">
        <v>0.6045454545454545</v>
      </c>
      <c r="K58" s="70">
        <f t="shared" si="12"/>
        <v>104.93165759382907</v>
      </c>
      <c r="L58" s="70">
        <f t="shared" si="13"/>
        <v>41.369152616944206</v>
      </c>
      <c r="M58" s="70">
        <f t="shared" si="5"/>
        <v>41.217608283000004</v>
      </c>
      <c r="N58" s="68">
        <f t="shared" si="6"/>
        <v>52.226583023889077</v>
      </c>
      <c r="O58" s="69">
        <f t="shared" si="14"/>
        <v>51.995327048636362</v>
      </c>
      <c r="P58" s="69">
        <f t="shared" si="15"/>
        <v>57.102923025909085</v>
      </c>
      <c r="Q58" s="69">
        <f t="shared" si="16"/>
        <v>58.215640413163335</v>
      </c>
      <c r="R58" s="69">
        <f t="shared" si="7"/>
        <v>91.493208785298734</v>
      </c>
      <c r="S58" s="68">
        <f t="shared" si="8"/>
        <v>59.93625037941559</v>
      </c>
      <c r="T58" s="68">
        <f t="shared" si="9"/>
        <v>26.358823581386524</v>
      </c>
      <c r="U58" s="69">
        <f t="shared" si="10"/>
        <v>64.701774818251877</v>
      </c>
      <c r="V58" s="69">
        <f t="shared" si="11"/>
        <v>15.644865267999785</v>
      </c>
    </row>
    <row r="59" spans="1:22" x14ac:dyDescent="0.3">
      <c r="A59" s="59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22" t="s">
        <v>21</v>
      </c>
      <c r="H59" s="22">
        <v>10.6</v>
      </c>
      <c r="I59" s="22">
        <v>9.8000000000000007</v>
      </c>
      <c r="J59" s="65">
        <v>0.6863636363636364</v>
      </c>
      <c r="K59" s="70">
        <f t="shared" si="12"/>
        <v>46.47714204591221</v>
      </c>
      <c r="L59" s="70">
        <f t="shared" si="13"/>
        <v>20.642872684543146</v>
      </c>
      <c r="M59" s="70">
        <f t="shared" si="5"/>
        <v>26.859815304000005</v>
      </c>
      <c r="N59" s="68">
        <f t="shared" si="6"/>
        <v>53.238212471285358</v>
      </c>
      <c r="O59" s="69">
        <f t="shared" si="14"/>
        <v>38.468907705454548</v>
      </c>
      <c r="P59" s="69">
        <f t="shared" si="15"/>
        <v>42.247778796363647</v>
      </c>
      <c r="Q59" s="69">
        <f t="shared" si="16"/>
        <v>43.383613980599669</v>
      </c>
      <c r="R59" s="69">
        <f t="shared" si="7"/>
        <v>57.230413997377696</v>
      </c>
      <c r="S59" s="68">
        <f t="shared" si="8"/>
        <v>36.804510626435182</v>
      </c>
      <c r="T59" s="68">
        <f t="shared" si="9"/>
        <v>13.451039559485293</v>
      </c>
      <c r="U59" s="69">
        <f t="shared" si="10"/>
        <v>45.332678619948894</v>
      </c>
      <c r="V59" s="69">
        <f t="shared" si="11"/>
        <v>7.1060347270453175</v>
      </c>
    </row>
    <row r="60" spans="1:22" x14ac:dyDescent="0.3">
      <c r="A60" s="59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22" t="s">
        <v>21</v>
      </c>
      <c r="H60" s="22">
        <v>31.8</v>
      </c>
      <c r="I60" s="22">
        <v>12.6</v>
      </c>
      <c r="J60" s="65">
        <v>0.62278481012658227</v>
      </c>
      <c r="K60" s="70">
        <f t="shared" si="12"/>
        <v>748.78336783576844</v>
      </c>
      <c r="L60" s="70">
        <f t="shared" si="13"/>
        <v>336.34194402604152</v>
      </c>
      <c r="M60" s="70">
        <f t="shared" si="5"/>
        <v>310.80643423200002</v>
      </c>
      <c r="N60" s="68">
        <f t="shared" si="6"/>
        <v>217.66906133001171</v>
      </c>
      <c r="O60" s="69">
        <f t="shared" si="14"/>
        <v>403.90625507240503</v>
      </c>
      <c r="P60" s="69">
        <f t="shared" si="15"/>
        <v>443.58270449012656</v>
      </c>
      <c r="Q60" s="69">
        <f t="shared" si="16"/>
        <v>430.51506535806618</v>
      </c>
      <c r="R60" s="69">
        <f t="shared" si="7"/>
        <v>570.15763977128756</v>
      </c>
      <c r="S60" s="68">
        <f t="shared" si="8"/>
        <v>403.40020185595546</v>
      </c>
      <c r="T60" s="68">
        <f t="shared" si="9"/>
        <v>204.24005707089461</v>
      </c>
      <c r="U60" s="69">
        <f t="shared" si="10"/>
        <v>462.04041617297128</v>
      </c>
      <c r="V60" s="69">
        <f t="shared" si="11"/>
        <v>64.037976213425324</v>
      </c>
    </row>
    <row r="61" spans="1:22" x14ac:dyDescent="0.3">
      <c r="A61" s="59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22" t="s">
        <v>21</v>
      </c>
      <c r="H61" s="22">
        <v>30.5</v>
      </c>
      <c r="I61" s="22">
        <v>13.2</v>
      </c>
      <c r="J61" s="65">
        <v>0.72512647554806076</v>
      </c>
      <c r="K61" s="70">
        <f t="shared" si="12"/>
        <v>673.74284974385387</v>
      </c>
      <c r="L61" s="70">
        <f t="shared" si="13"/>
        <v>309.77604084621089</v>
      </c>
      <c r="M61" s="70">
        <f t="shared" si="5"/>
        <v>299.52896490000001</v>
      </c>
      <c r="N61" s="68">
        <f t="shared" si="6"/>
        <v>224.34751919658433</v>
      </c>
      <c r="O61" s="69">
        <f t="shared" si="14"/>
        <v>453.21591753794269</v>
      </c>
      <c r="P61" s="69">
        <f t="shared" si="15"/>
        <v>497.73614519392913</v>
      </c>
      <c r="Q61" s="69">
        <f t="shared" si="16"/>
        <v>481.73959080859117</v>
      </c>
      <c r="R61" s="69">
        <f t="shared" si="7"/>
        <v>624.85481485633954</v>
      </c>
      <c r="S61" s="68">
        <f t="shared" si="8"/>
        <v>376.84884367166222</v>
      </c>
      <c r="T61" s="68">
        <f t="shared" si="9"/>
        <v>174.55645887532634</v>
      </c>
      <c r="U61" s="69">
        <f t="shared" si="10"/>
        <v>514.38661709920063</v>
      </c>
      <c r="V61" s="69">
        <f t="shared" si="11"/>
        <v>65.742192960099999</v>
      </c>
    </row>
    <row r="62" spans="1:22" x14ac:dyDescent="0.3">
      <c r="A62" s="59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22" t="s">
        <v>21</v>
      </c>
      <c r="H62" s="22">
        <v>10.199999999999999</v>
      </c>
      <c r="I62" s="22">
        <v>9.1999999999999993</v>
      </c>
      <c r="J62" s="65">
        <v>0.67123287671232879</v>
      </c>
      <c r="K62" s="70">
        <f t="shared" si="12"/>
        <v>42.16712682704506</v>
      </c>
      <c r="L62" s="70">
        <f t="shared" si="13"/>
        <v>18.294868016086973</v>
      </c>
      <c r="M62" s="70">
        <f t="shared" si="5"/>
        <v>23.348199023999999</v>
      </c>
      <c r="N62" s="68">
        <f t="shared" si="6"/>
        <v>46.724555049537784</v>
      </c>
      <c r="O62" s="69">
        <f t="shared" si="14"/>
        <v>32.702365873972603</v>
      </c>
      <c r="P62" s="69">
        <f t="shared" si="15"/>
        <v>35.914779024657527</v>
      </c>
      <c r="Q62" s="69">
        <f t="shared" si="16"/>
        <v>37.024378886917354</v>
      </c>
      <c r="R62" s="69">
        <f t="shared" si="7"/>
        <v>50.422268728165783</v>
      </c>
      <c r="S62" s="68">
        <f t="shared" si="8"/>
        <v>32.63368722916745</v>
      </c>
      <c r="T62" s="68">
        <f t="shared" si="9"/>
        <v>12.054678076697442</v>
      </c>
      <c r="U62" s="69">
        <f t="shared" si="10"/>
        <v>39.01594812842832</v>
      </c>
      <c r="V62" s="69">
        <f t="shared" si="11"/>
        <v>6.7740141046813447</v>
      </c>
    </row>
    <row r="63" spans="1:22" x14ac:dyDescent="0.3">
      <c r="A63" s="59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22" t="s">
        <v>21</v>
      </c>
      <c r="H63" s="29">
        <f>SQRT(16.2^2+14.1^2+11.9^2)</f>
        <v>24.553207529770933</v>
      </c>
      <c r="I63" s="22">
        <v>12.1</v>
      </c>
      <c r="J63" s="65">
        <v>0.69767441860465118</v>
      </c>
      <c r="K63" s="70">
        <f t="shared" si="12"/>
        <v>389.21485654286295</v>
      </c>
      <c r="L63" s="70">
        <f t="shared" si="13"/>
        <v>175.75063074369351</v>
      </c>
      <c r="M63" s="70">
        <f t="shared" si="5"/>
        <v>177.937324158</v>
      </c>
      <c r="N63" s="68">
        <f t="shared" si="6"/>
        <v>160.66980897900768</v>
      </c>
      <c r="O63" s="69">
        <f t="shared" si="14"/>
        <v>259.04333400000002</v>
      </c>
      <c r="P63" s="69">
        <f t="shared" si="15"/>
        <v>284.48963400000002</v>
      </c>
      <c r="Q63" s="69">
        <f t="shared" si="16"/>
        <v>279.06796892180103</v>
      </c>
      <c r="R63" s="69">
        <f t="shared" si="7"/>
        <v>368.24356530795887</v>
      </c>
      <c r="S63" s="68">
        <f t="shared" si="8"/>
        <v>225.89315510589105</v>
      </c>
      <c r="T63" s="68">
        <f t="shared" si="9"/>
        <v>94.527902641985619</v>
      </c>
      <c r="U63" s="69">
        <f t="shared" si="10"/>
        <v>297.71112555743997</v>
      </c>
      <c r="V63" s="69">
        <f t="shared" si="11"/>
        <v>41.810280701744489</v>
      </c>
    </row>
    <row r="64" spans="1:22" x14ac:dyDescent="0.3">
      <c r="A64" s="59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22" t="s">
        <v>63</v>
      </c>
      <c r="H64" s="22">
        <v>10.7</v>
      </c>
      <c r="I64" s="22">
        <v>5.3</v>
      </c>
      <c r="J64" s="65">
        <v>0.21111111111111111</v>
      </c>
      <c r="K64" s="70">
        <f t="shared" si="12"/>
        <v>47.594474183359388</v>
      </c>
      <c r="L64" s="70">
        <f t="shared" si="13"/>
        <v>16.279958168493696</v>
      </c>
      <c r="M64" s="70">
        <f t="shared" si="5"/>
        <v>14.801599220999998</v>
      </c>
      <c r="N64" s="68">
        <f t="shared" si="6"/>
        <v>21.450731875164582</v>
      </c>
      <c r="O64" s="69">
        <f t="shared" si="14"/>
        <v>6.5203708744444429</v>
      </c>
      <c r="P64" s="69">
        <f t="shared" si="15"/>
        <v>7.1608788188888877</v>
      </c>
      <c r="Q64" s="69">
        <f t="shared" si="16"/>
        <v>7.6734076781414435</v>
      </c>
      <c r="R64" s="69">
        <f t="shared" si="7"/>
        <v>13.304474125928181</v>
      </c>
      <c r="S64" s="68">
        <f t="shared" si="8"/>
        <v>25.031690862004417</v>
      </c>
      <c r="T64" s="68">
        <f t="shared" si="9"/>
        <v>13.258488399831405</v>
      </c>
      <c r="U64" s="69">
        <f t="shared" si="10"/>
        <v>8.6647828743507382</v>
      </c>
      <c r="V64" s="69">
        <f t="shared" si="11"/>
        <v>2.7096950899962891</v>
      </c>
    </row>
    <row r="65" spans="1:22" x14ac:dyDescent="0.3">
      <c r="A65" s="59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22" t="s">
        <v>63</v>
      </c>
      <c r="H65" s="22">
        <v>11.1</v>
      </c>
      <c r="I65" s="22">
        <v>6.6</v>
      </c>
      <c r="J65" s="65">
        <v>0.26605504587155965</v>
      </c>
      <c r="K65" s="70">
        <f t="shared" si="12"/>
        <v>52.225512674589233</v>
      </c>
      <c r="L65" s="70">
        <f t="shared" si="13"/>
        <v>19.541332326060864</v>
      </c>
      <c r="M65" s="70">
        <f t="shared" si="5"/>
        <v>19.836046098000001</v>
      </c>
      <c r="N65" s="68">
        <f t="shared" si="6"/>
        <v>30.809496266830092</v>
      </c>
      <c r="O65" s="69">
        <f t="shared" si="14"/>
        <v>11.012328941284403</v>
      </c>
      <c r="P65" s="69">
        <f t="shared" si="15"/>
        <v>12.094090133944954</v>
      </c>
      <c r="Q65" s="69">
        <f t="shared" si="16"/>
        <v>12.797719405074604</v>
      </c>
      <c r="R65" s="69">
        <f t="shared" si="7"/>
        <v>19.870849309509811</v>
      </c>
      <c r="S65" s="68">
        <f t="shared" si="8"/>
        <v>30.603096841370046</v>
      </c>
      <c r="T65" s="68">
        <f t="shared" si="9"/>
        <v>13.284045723065105</v>
      </c>
      <c r="U65" s="69">
        <f t="shared" si="10"/>
        <v>13.943746947453445</v>
      </c>
      <c r="V65" s="69">
        <f t="shared" si="11"/>
        <v>3.4806020812797347</v>
      </c>
    </row>
    <row r="66" spans="1:22" x14ac:dyDescent="0.3">
      <c r="A66" s="59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22" t="s">
        <v>63</v>
      </c>
      <c r="H66" s="22">
        <v>10.4</v>
      </c>
      <c r="I66" s="22">
        <v>7.3</v>
      </c>
      <c r="J66" s="65">
        <v>0.19277108433734941</v>
      </c>
      <c r="K66" s="70">
        <f t="shared" ref="K66:K97" si="17" xml:space="preserve"> EXP(-2.134 + 2.53*LN(H66))</f>
        <v>44.290432787059352</v>
      </c>
      <c r="L66" s="70">
        <f t="shared" ref="L66:L97" si="18">(0.02453 *(H66^2.443356)*(I66^0.423602))</f>
        <v>17.393114268455061</v>
      </c>
      <c r="M66" s="70">
        <f t="shared" si="5"/>
        <v>19.259932224000003</v>
      </c>
      <c r="N66" s="68">
        <f t="shared" si="6"/>
        <v>33.68665092677378</v>
      </c>
      <c r="O66" s="69">
        <f t="shared" ref="O66:O97" si="19" xml:space="preserve"> 0.0509*J66*H66^2*I66</f>
        <v>7.7472792674698807</v>
      </c>
      <c r="P66" s="69">
        <f t="shared" ref="P66:P97" si="20">((0.0559)*((J66*H66^2*I66)))</f>
        <v>8.5083086650602429</v>
      </c>
      <c r="Q66" s="69">
        <f t="shared" ref="Q66:Q97" si="21">((0.0673)*((J66*H66^2*I66)^0.976))</f>
        <v>9.079629744672193</v>
      </c>
      <c r="R66" s="69">
        <f t="shared" si="7"/>
        <v>12.667938179325953</v>
      </c>
      <c r="S66" s="68">
        <f t="shared" si="8"/>
        <v>28.657532551572046</v>
      </c>
      <c r="T66" s="68">
        <f t="shared" si="9"/>
        <v>11.010013766774927</v>
      </c>
      <c r="U66" s="69">
        <f t="shared" si="10"/>
        <v>9.5007889641320666</v>
      </c>
      <c r="V66" s="69">
        <f t="shared" si="11"/>
        <v>1.8886518101395329</v>
      </c>
    </row>
    <row r="67" spans="1:22" x14ac:dyDescent="0.3">
      <c r="A67" s="59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22" t="s">
        <v>63</v>
      </c>
      <c r="H67" s="22">
        <v>16.2</v>
      </c>
      <c r="I67" s="22">
        <v>7.5</v>
      </c>
      <c r="J67" s="65">
        <v>0.22222222222222221</v>
      </c>
      <c r="K67" s="70">
        <f t="shared" si="17"/>
        <v>135.92162636039748</v>
      </c>
      <c r="L67" s="70">
        <f t="shared" si="18"/>
        <v>51.957831525000344</v>
      </c>
      <c r="M67" s="70">
        <f t="shared" ref="M67:M130" si="22">0.024393*((H67^2)*I67)</f>
        <v>48.012741900000002</v>
      </c>
      <c r="N67" s="68">
        <f t="shared" ref="N67:N130" si="23">10^(-0.717903255+0.940214879*LOG(H67)+1.345432588*LOG(I67)*1.109844005)</f>
        <v>53.205924423500988</v>
      </c>
      <c r="O67" s="69">
        <f t="shared" si="19"/>
        <v>22.263659999999998</v>
      </c>
      <c r="P67" s="69">
        <f t="shared" si="20"/>
        <v>24.450659999999999</v>
      </c>
      <c r="Q67" s="69">
        <f t="shared" si="21"/>
        <v>25.439744910365835</v>
      </c>
      <c r="R67" s="69">
        <f t="shared" ref="R67:R130" si="24">EXP(-1.305+1.055*LN(H67^2)+0.34*LN(I67)+1.077*LN(J67))</f>
        <v>37.960623233819227</v>
      </c>
      <c r="S67" s="68">
        <f t="shared" ref="S67:S130" si="25">AVERAGE(K67:N67)</f>
        <v>72.274531052224702</v>
      </c>
      <c r="T67" s="68">
        <f t="shared" ref="T67:T130" si="26">_xlfn.STDEV.P(K67:N67)</f>
        <v>36.796627537300083</v>
      </c>
      <c r="U67" s="69">
        <f t="shared" ref="U67:U130" si="27">AVERAGE(O67:R67)</f>
        <v>27.528672036046267</v>
      </c>
      <c r="V67" s="69">
        <f t="shared" ref="V67:V130" si="28">_xlfn.STDEV.P(O67:R67)</f>
        <v>6.1315522537706055</v>
      </c>
    </row>
    <row r="68" spans="1:22" x14ac:dyDescent="0.3">
      <c r="A68" s="59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22" t="s">
        <v>63</v>
      </c>
      <c r="H68" s="29">
        <f>SQRT(11.6^2+8.4^2)</f>
        <v>14.322011031974526</v>
      </c>
      <c r="I68" s="22">
        <v>6.4</v>
      </c>
      <c r="J68" s="65">
        <v>0.27160493827160492</v>
      </c>
      <c r="K68" s="70">
        <f t="shared" si="17"/>
        <v>99.518931736208486</v>
      </c>
      <c r="L68" s="70">
        <f t="shared" si="18"/>
        <v>35.952269993885672</v>
      </c>
      <c r="M68" s="70">
        <f t="shared" si="22"/>
        <v>32.02234982400001</v>
      </c>
      <c r="N68" s="68">
        <f t="shared" si="23"/>
        <v>37.393249368249954</v>
      </c>
      <c r="O68" s="69">
        <f t="shared" si="19"/>
        <v>18.148612424691361</v>
      </c>
      <c r="P68" s="69">
        <f t="shared" si="20"/>
        <v>19.93138378271605</v>
      </c>
      <c r="Q68" s="69">
        <f t="shared" si="21"/>
        <v>20.839615056669487</v>
      </c>
      <c r="R68" s="69">
        <f t="shared" si="24"/>
        <v>34.424385969569443</v>
      </c>
      <c r="S68" s="68">
        <f t="shared" si="25"/>
        <v>51.221700230586023</v>
      </c>
      <c r="T68" s="68">
        <f t="shared" si="26"/>
        <v>27.953618639400119</v>
      </c>
      <c r="U68" s="69">
        <f t="shared" si="27"/>
        <v>23.335999308411587</v>
      </c>
      <c r="V68" s="69">
        <f t="shared" si="28"/>
        <v>6.4746552541214273</v>
      </c>
    </row>
    <row r="69" spans="1:22" x14ac:dyDescent="0.3">
      <c r="A69" s="59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22" t="s">
        <v>63</v>
      </c>
      <c r="H69" s="22">
        <v>12</v>
      </c>
      <c r="I69" s="22">
        <v>7.4</v>
      </c>
      <c r="J69" s="65">
        <v>0.21551724137931033</v>
      </c>
      <c r="K69" s="70">
        <f t="shared" si="17"/>
        <v>63.612743766664323</v>
      </c>
      <c r="L69" s="70">
        <f t="shared" si="18"/>
        <v>24.81588773521349</v>
      </c>
      <c r="M69" s="70">
        <f t="shared" si="22"/>
        <v>25.993180800000005</v>
      </c>
      <c r="N69" s="68">
        <f t="shared" si="23"/>
        <v>39.329049626841126</v>
      </c>
      <c r="O69" s="69">
        <f t="shared" si="19"/>
        <v>11.689448275862068</v>
      </c>
      <c r="P69" s="69">
        <f t="shared" si="20"/>
        <v>12.837724137931033</v>
      </c>
      <c r="Q69" s="69">
        <f t="shared" si="21"/>
        <v>13.565177033906943</v>
      </c>
      <c r="R69" s="69">
        <f t="shared" si="24"/>
        <v>19.409620761511146</v>
      </c>
      <c r="S69" s="68">
        <f t="shared" si="25"/>
        <v>38.43771548217974</v>
      </c>
      <c r="T69" s="68">
        <f t="shared" si="26"/>
        <v>15.612472260231812</v>
      </c>
      <c r="U69" s="69">
        <f t="shared" si="27"/>
        <v>14.375492552302799</v>
      </c>
      <c r="V69" s="69">
        <f t="shared" si="28"/>
        <v>2.9823909710725238</v>
      </c>
    </row>
    <row r="70" spans="1:22" x14ac:dyDescent="0.3">
      <c r="A70" s="59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22" t="s">
        <v>65</v>
      </c>
      <c r="H70" s="22">
        <v>10.5</v>
      </c>
      <c r="I70" s="22">
        <v>4</v>
      </c>
      <c r="J70" s="65">
        <v>0.50270270270270268</v>
      </c>
      <c r="K70" s="70">
        <f t="shared" si="17"/>
        <v>45.375821659690011</v>
      </c>
      <c r="L70" s="70">
        <f t="shared" si="18"/>
        <v>13.799405149001611</v>
      </c>
      <c r="M70" s="70">
        <f t="shared" si="22"/>
        <v>10.757313</v>
      </c>
      <c r="N70" s="68">
        <f t="shared" si="23"/>
        <v>13.843385541505667</v>
      </c>
      <c r="O70" s="69">
        <f t="shared" si="19"/>
        <v>11.284117297297298</v>
      </c>
      <c r="P70" s="69">
        <f t="shared" si="20"/>
        <v>12.392576756756757</v>
      </c>
      <c r="Q70" s="69">
        <f t="shared" si="21"/>
        <v>13.105900860411417</v>
      </c>
      <c r="R70" s="69">
        <f t="shared" si="24"/>
        <v>29.577924995251017</v>
      </c>
      <c r="S70" s="68">
        <f t="shared" si="25"/>
        <v>20.943981337549321</v>
      </c>
      <c r="T70" s="68">
        <f t="shared" si="26"/>
        <v>14.161095145843817</v>
      </c>
      <c r="U70" s="69">
        <f t="shared" si="27"/>
        <v>16.590129977429122</v>
      </c>
      <c r="V70" s="69">
        <f t="shared" si="28"/>
        <v>7.5265512614830774</v>
      </c>
    </row>
    <row r="71" spans="1:22" x14ac:dyDescent="0.3">
      <c r="A71" s="59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22" t="s">
        <v>65</v>
      </c>
      <c r="H71" s="29">
        <f>SQRT(8.4^2+10.4^2+11.3^2)</f>
        <v>17.504570831642802</v>
      </c>
      <c r="I71" s="22">
        <v>6.8</v>
      </c>
      <c r="J71" s="65">
        <v>0.53237410071942448</v>
      </c>
      <c r="K71" s="70">
        <f t="shared" si="17"/>
        <v>165.34413260980006</v>
      </c>
      <c r="L71" s="70">
        <f t="shared" si="18"/>
        <v>60.229822802077976</v>
      </c>
      <c r="M71" s="70">
        <f t="shared" si="22"/>
        <v>50.824962083999999</v>
      </c>
      <c r="N71" s="68">
        <f t="shared" si="23"/>
        <v>49.436242415326468</v>
      </c>
      <c r="O71" s="69">
        <f t="shared" si="19"/>
        <v>56.460737847482008</v>
      </c>
      <c r="P71" s="69">
        <f t="shared" si="20"/>
        <v>62.006979286330932</v>
      </c>
      <c r="Q71" s="69">
        <f t="shared" si="21"/>
        <v>63.090379653480802</v>
      </c>
      <c r="R71" s="69">
        <f t="shared" si="24"/>
        <v>110.78576219853635</v>
      </c>
      <c r="S71" s="68">
        <f t="shared" si="25"/>
        <v>81.458789977801132</v>
      </c>
      <c r="T71" s="68">
        <f t="shared" si="26"/>
        <v>48.608884783683756</v>
      </c>
      <c r="U71" s="69">
        <f t="shared" si="27"/>
        <v>73.08596474645752</v>
      </c>
      <c r="V71" s="69">
        <f t="shared" si="28"/>
        <v>21.910776672375299</v>
      </c>
    </row>
    <row r="72" spans="1:22" x14ac:dyDescent="0.3">
      <c r="A72" s="59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22" t="s">
        <v>65</v>
      </c>
      <c r="H72" s="29">
        <f>SQRT(7.3^2+11.2^2)</f>
        <v>13.36899397860587</v>
      </c>
      <c r="I72" s="22">
        <v>7.5</v>
      </c>
      <c r="J72" s="65">
        <v>0.51583710407239824</v>
      </c>
      <c r="K72" s="70">
        <f t="shared" si="17"/>
        <v>83.607522935675775</v>
      </c>
      <c r="L72" s="70">
        <f t="shared" si="18"/>
        <v>32.496406025585827</v>
      </c>
      <c r="M72" s="70">
        <f t="shared" si="22"/>
        <v>32.698206675000002</v>
      </c>
      <c r="N72" s="68">
        <f t="shared" si="23"/>
        <v>44.415111751629418</v>
      </c>
      <c r="O72" s="69">
        <f t="shared" si="19"/>
        <v>35.195657171945705</v>
      </c>
      <c r="P72" s="69">
        <f t="shared" si="20"/>
        <v>38.652990882352938</v>
      </c>
      <c r="Q72" s="69">
        <f t="shared" si="21"/>
        <v>39.776983897408016</v>
      </c>
      <c r="R72" s="69">
        <f t="shared" si="24"/>
        <v>62.691822053851233</v>
      </c>
      <c r="S72" s="68">
        <f t="shared" si="25"/>
        <v>48.304311846972752</v>
      </c>
      <c r="T72" s="68">
        <f t="shared" si="26"/>
        <v>20.945661816063826</v>
      </c>
      <c r="U72" s="69">
        <f t="shared" si="27"/>
        <v>44.079363501389473</v>
      </c>
      <c r="V72" s="69">
        <f t="shared" si="28"/>
        <v>10.877727721958875</v>
      </c>
    </row>
    <row r="73" spans="1:22" x14ac:dyDescent="0.3">
      <c r="A73" s="59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22" t="s">
        <v>65</v>
      </c>
      <c r="H73" s="29">
        <f>SQRT(5.7^2+6.5^2+4.7^2+6.7^2+10.1^2)</f>
        <v>15.611854470241516</v>
      </c>
      <c r="I73" s="22">
        <v>8</v>
      </c>
      <c r="J73" s="65">
        <v>0.52551020408163263</v>
      </c>
      <c r="K73" s="70">
        <f t="shared" si="17"/>
        <v>123.78141587232679</v>
      </c>
      <c r="L73" s="70">
        <f t="shared" si="18"/>
        <v>48.784568961924123</v>
      </c>
      <c r="M73" s="70">
        <f t="shared" si="22"/>
        <v>47.562447120000009</v>
      </c>
      <c r="N73" s="68">
        <f t="shared" si="23"/>
        <v>56.586484262219059</v>
      </c>
      <c r="O73" s="69">
        <f t="shared" si="19"/>
        <v>52.155235551020411</v>
      </c>
      <c r="P73" s="69">
        <f t="shared" si="20"/>
        <v>57.278539632653064</v>
      </c>
      <c r="Q73" s="69">
        <f t="shared" si="21"/>
        <v>58.390375744348631</v>
      </c>
      <c r="R73" s="69">
        <f t="shared" si="24"/>
        <v>90.68828346411658</v>
      </c>
      <c r="S73" s="68">
        <f t="shared" si="25"/>
        <v>69.178729054117497</v>
      </c>
      <c r="T73" s="68">
        <f t="shared" si="26"/>
        <v>31.714363651143195</v>
      </c>
      <c r="U73" s="69">
        <f t="shared" si="27"/>
        <v>64.628108598034672</v>
      </c>
      <c r="V73" s="69">
        <f t="shared" si="28"/>
        <v>15.228515614042626</v>
      </c>
    </row>
    <row r="74" spans="1:22" x14ac:dyDescent="0.3">
      <c r="A74" s="59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22" t="s">
        <v>65</v>
      </c>
      <c r="H74" s="29">
        <f>SQRT(8.5^2+6.1^2+6.5^2+6^2+12.1^2)</f>
        <v>18.278949641595929</v>
      </c>
      <c r="I74" s="22">
        <v>6.4</v>
      </c>
      <c r="J74" s="65">
        <v>0.51256281407035176</v>
      </c>
      <c r="K74" s="70">
        <f t="shared" si="17"/>
        <v>184.48123767811001</v>
      </c>
      <c r="L74" s="70">
        <f t="shared" si="18"/>
        <v>65.251894092452588</v>
      </c>
      <c r="M74" s="70">
        <f t="shared" si="22"/>
        <v>52.161210623999999</v>
      </c>
      <c r="N74" s="68">
        <f t="shared" si="23"/>
        <v>47.033399510648863</v>
      </c>
      <c r="O74" s="69">
        <f t="shared" si="19"/>
        <v>55.788839107537683</v>
      </c>
      <c r="P74" s="69">
        <f t="shared" si="20"/>
        <v>61.269078705527633</v>
      </c>
      <c r="Q74" s="69">
        <f t="shared" si="21"/>
        <v>62.357500272211475</v>
      </c>
      <c r="R74" s="69">
        <f t="shared" si="24"/>
        <v>114.14624325506537</v>
      </c>
      <c r="S74" s="68">
        <f t="shared" si="25"/>
        <v>87.231935476302851</v>
      </c>
      <c r="T74" s="68">
        <f t="shared" si="26"/>
        <v>56.538542237623396</v>
      </c>
      <c r="U74" s="69">
        <f t="shared" si="27"/>
        <v>73.390415335085549</v>
      </c>
      <c r="V74" s="69">
        <f t="shared" si="28"/>
        <v>23.661704353283785</v>
      </c>
    </row>
    <row r="75" spans="1:22" x14ac:dyDescent="0.3">
      <c r="A75" s="59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22" t="s">
        <v>65</v>
      </c>
      <c r="H75" s="22">
        <v>10.4</v>
      </c>
      <c r="I75" s="22">
        <v>5.5</v>
      </c>
      <c r="J75" s="65">
        <v>0.52606635071090047</v>
      </c>
      <c r="K75" s="70">
        <f t="shared" si="17"/>
        <v>44.290432787059352</v>
      </c>
      <c r="L75" s="70">
        <f t="shared" si="18"/>
        <v>15.427344441112673</v>
      </c>
      <c r="M75" s="70">
        <f t="shared" si="22"/>
        <v>14.510907840000003</v>
      </c>
      <c r="N75" s="68">
        <f t="shared" si="23"/>
        <v>22.07248418832577</v>
      </c>
      <c r="O75" s="69">
        <f t="shared" si="19"/>
        <v>15.928969251184835</v>
      </c>
      <c r="P75" s="69">
        <f t="shared" si="20"/>
        <v>17.493701004739339</v>
      </c>
      <c r="Q75" s="69">
        <f t="shared" si="21"/>
        <v>18.348208998966758</v>
      </c>
      <c r="R75" s="69">
        <f t="shared" si="24"/>
        <v>33.921106097264563</v>
      </c>
      <c r="S75" s="68">
        <f t="shared" si="25"/>
        <v>24.07529231412445</v>
      </c>
      <c r="T75" s="68">
        <f t="shared" si="26"/>
        <v>12.030457155823894</v>
      </c>
      <c r="U75" s="69">
        <f t="shared" si="27"/>
        <v>21.422996338038871</v>
      </c>
      <c r="V75" s="69">
        <f t="shared" si="28"/>
        <v>7.2677499988226479</v>
      </c>
    </row>
    <row r="76" spans="1:22" x14ac:dyDescent="0.3">
      <c r="A76" s="59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22" t="s">
        <v>21</v>
      </c>
      <c r="H76" s="22">
        <v>14.9</v>
      </c>
      <c r="I76" s="22">
        <v>7.9</v>
      </c>
      <c r="J76" s="65">
        <v>0.47868852459016392</v>
      </c>
      <c r="K76" s="70">
        <f t="shared" si="17"/>
        <v>109.99598540047349</v>
      </c>
      <c r="L76" s="70">
        <f t="shared" si="18"/>
        <v>43.295811826046453</v>
      </c>
      <c r="M76" s="70">
        <f t="shared" si="22"/>
        <v>42.782370447000005</v>
      </c>
      <c r="N76" s="68">
        <f t="shared" si="23"/>
        <v>53.149467496722004</v>
      </c>
      <c r="O76" s="69">
        <f t="shared" si="19"/>
        <v>42.733693116721319</v>
      </c>
      <c r="P76" s="69">
        <f t="shared" si="20"/>
        <v>46.93150187081968</v>
      </c>
      <c r="Q76" s="69">
        <f t="shared" si="21"/>
        <v>48.071806769321661</v>
      </c>
      <c r="R76" s="69">
        <f t="shared" si="24"/>
        <v>74.0080629255487</v>
      </c>
      <c r="S76" s="68">
        <f t="shared" si="25"/>
        <v>62.305908792560487</v>
      </c>
      <c r="T76" s="68">
        <f t="shared" si="26"/>
        <v>27.842127075169671</v>
      </c>
      <c r="U76" s="69">
        <f t="shared" si="27"/>
        <v>52.936266170602842</v>
      </c>
      <c r="V76" s="69">
        <f t="shared" si="28"/>
        <v>12.327137491771959</v>
      </c>
    </row>
    <row r="77" spans="1:22" x14ac:dyDescent="0.3">
      <c r="A77" s="59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22" t="s">
        <v>21</v>
      </c>
      <c r="H77" s="22">
        <v>16.399999999999999</v>
      </c>
      <c r="I77" s="22">
        <v>10</v>
      </c>
      <c r="J77" s="65">
        <v>0.49538461538461537</v>
      </c>
      <c r="K77" s="70">
        <f t="shared" si="17"/>
        <v>140.20726290139211</v>
      </c>
      <c r="L77" s="70">
        <f t="shared" si="18"/>
        <v>60.47773997265007</v>
      </c>
      <c r="M77" s="70">
        <f t="shared" si="22"/>
        <v>65.607412800000006</v>
      </c>
      <c r="N77" s="68">
        <f t="shared" si="23"/>
        <v>82.704910978562808</v>
      </c>
      <c r="O77" s="69">
        <f t="shared" si="19"/>
        <v>67.818470892307687</v>
      </c>
      <c r="P77" s="69">
        <f t="shared" si="20"/>
        <v>74.480403199999984</v>
      </c>
      <c r="Q77" s="69">
        <f t="shared" si="21"/>
        <v>75.449115057899988</v>
      </c>
      <c r="R77" s="69">
        <f t="shared" si="24"/>
        <v>101.8636676751098</v>
      </c>
      <c r="S77" s="68">
        <f t="shared" si="25"/>
        <v>87.249331663151253</v>
      </c>
      <c r="T77" s="68">
        <f t="shared" si="26"/>
        <v>31.663405589555936</v>
      </c>
      <c r="U77" s="69">
        <f t="shared" si="27"/>
        <v>79.90291420632937</v>
      </c>
      <c r="V77" s="69">
        <f t="shared" si="28"/>
        <v>13.014880095439427</v>
      </c>
    </row>
    <row r="78" spans="1:22" x14ac:dyDescent="0.3">
      <c r="A78" s="59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22" t="s">
        <v>21</v>
      </c>
      <c r="H78" s="22">
        <v>15.7</v>
      </c>
      <c r="I78" s="22">
        <v>9.5</v>
      </c>
      <c r="J78" s="65">
        <v>0.4955223880597015</v>
      </c>
      <c r="K78" s="70">
        <f t="shared" si="17"/>
        <v>125.55722142341924</v>
      </c>
      <c r="L78" s="70">
        <f t="shared" si="18"/>
        <v>53.19512257675742</v>
      </c>
      <c r="M78" s="70">
        <f t="shared" si="22"/>
        <v>57.119990414999997</v>
      </c>
      <c r="N78" s="68">
        <f t="shared" si="23"/>
        <v>73.528569914981659</v>
      </c>
      <c r="O78" s="69">
        <f t="shared" si="19"/>
        <v>59.061432110447754</v>
      </c>
      <c r="P78" s="69">
        <f t="shared" si="20"/>
        <v>64.863144498507452</v>
      </c>
      <c r="Q78" s="69">
        <f t="shared" si="21"/>
        <v>65.925159127278846</v>
      </c>
      <c r="R78" s="69">
        <f t="shared" si="24"/>
        <v>91.327831776146283</v>
      </c>
      <c r="S78" s="68">
        <f t="shared" si="25"/>
        <v>77.350226082539578</v>
      </c>
      <c r="T78" s="68">
        <f t="shared" si="26"/>
        <v>28.858494920031202</v>
      </c>
      <c r="U78" s="69">
        <f t="shared" si="27"/>
        <v>70.294391878095084</v>
      </c>
      <c r="V78" s="69">
        <f t="shared" si="28"/>
        <v>12.421489665249474</v>
      </c>
    </row>
    <row r="79" spans="1:22" x14ac:dyDescent="0.3">
      <c r="A79" s="59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22" t="s">
        <v>21</v>
      </c>
      <c r="H79" s="22">
        <v>10.3</v>
      </c>
      <c r="I79" s="22">
        <v>9.1999999999999993</v>
      </c>
      <c r="J79" s="65">
        <v>0.53535353535353536</v>
      </c>
      <c r="K79" s="70">
        <f t="shared" si="17"/>
        <v>43.220894830407985</v>
      </c>
      <c r="L79" s="70">
        <f t="shared" si="18"/>
        <v>18.736217076044156</v>
      </c>
      <c r="M79" s="70">
        <f t="shared" si="22"/>
        <v>23.808251004000006</v>
      </c>
      <c r="N79" s="68">
        <f t="shared" si="23"/>
        <v>47.155126535749247</v>
      </c>
      <c r="O79" s="69">
        <f t="shared" si="19"/>
        <v>26.596270056565661</v>
      </c>
      <c r="P79" s="69">
        <f t="shared" si="20"/>
        <v>29.208870258585865</v>
      </c>
      <c r="Q79" s="69">
        <f t="shared" si="21"/>
        <v>30.261018784848254</v>
      </c>
      <c r="R79" s="69">
        <f t="shared" si="24"/>
        <v>40.34280708800059</v>
      </c>
      <c r="S79" s="68">
        <f t="shared" si="25"/>
        <v>33.23012236155035</v>
      </c>
      <c r="T79" s="68">
        <f t="shared" si="26"/>
        <v>12.171341607228346</v>
      </c>
      <c r="U79" s="69">
        <f t="shared" si="27"/>
        <v>31.602241547000091</v>
      </c>
      <c r="V79" s="69">
        <f t="shared" si="28"/>
        <v>5.2197782798095913</v>
      </c>
    </row>
    <row r="80" spans="1:22" x14ac:dyDescent="0.3">
      <c r="A80" s="59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22" t="s">
        <v>21</v>
      </c>
      <c r="H80" s="22">
        <v>13</v>
      </c>
      <c r="I80" s="22">
        <v>10.7</v>
      </c>
      <c r="J80" s="65">
        <v>0.57358490566037734</v>
      </c>
      <c r="K80" s="70">
        <f t="shared" si="17"/>
        <v>77.891892706831428</v>
      </c>
      <c r="L80" s="70">
        <f t="shared" si="18"/>
        <v>35.278226863741374</v>
      </c>
      <c r="M80" s="70">
        <f t="shared" si="22"/>
        <v>44.109861899999999</v>
      </c>
      <c r="N80" s="68">
        <f t="shared" si="23"/>
        <v>73.542705754276597</v>
      </c>
      <c r="O80" s="69">
        <f t="shared" si="19"/>
        <v>52.794171471698107</v>
      </c>
      <c r="P80" s="69">
        <f t="shared" si="20"/>
        <v>57.980239396226409</v>
      </c>
      <c r="Q80" s="69">
        <f t="shared" si="21"/>
        <v>59.088426332052592</v>
      </c>
      <c r="R80" s="69">
        <f t="shared" si="24"/>
        <v>74.75950151094051</v>
      </c>
      <c r="S80" s="68">
        <f t="shared" si="25"/>
        <v>57.705671806212351</v>
      </c>
      <c r="T80" s="68">
        <f t="shared" si="26"/>
        <v>18.344832325304569</v>
      </c>
      <c r="U80" s="69">
        <f t="shared" si="27"/>
        <v>61.155584677729401</v>
      </c>
      <c r="V80" s="69">
        <f t="shared" si="28"/>
        <v>8.2057258254493171</v>
      </c>
    </row>
    <row r="81" spans="1:22" x14ac:dyDescent="0.3">
      <c r="A81" s="59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22" t="s">
        <v>21</v>
      </c>
      <c r="H81" s="22">
        <v>19.399999999999999</v>
      </c>
      <c r="I81" s="22">
        <v>14.8</v>
      </c>
      <c r="J81" s="65">
        <v>0.53076923076923077</v>
      </c>
      <c r="K81" s="70">
        <f t="shared" si="17"/>
        <v>214.46377803854753</v>
      </c>
      <c r="L81" s="70">
        <f t="shared" si="18"/>
        <v>107.64177113140825</v>
      </c>
      <c r="M81" s="70">
        <f t="shared" si="22"/>
        <v>135.87213230399999</v>
      </c>
      <c r="N81" s="68">
        <f t="shared" si="23"/>
        <v>173.92645011025255</v>
      </c>
      <c r="O81" s="69">
        <f t="shared" si="19"/>
        <v>150.48343499076921</v>
      </c>
      <c r="P81" s="69">
        <f t="shared" si="20"/>
        <v>165.26569775999997</v>
      </c>
      <c r="Q81" s="69">
        <f t="shared" si="21"/>
        <v>164.2432295155501</v>
      </c>
      <c r="R81" s="69">
        <f t="shared" si="24"/>
        <v>178.69805057469441</v>
      </c>
      <c r="S81" s="68">
        <f t="shared" si="25"/>
        <v>157.97603289605209</v>
      </c>
      <c r="T81" s="68">
        <f t="shared" si="26"/>
        <v>40.210077994719093</v>
      </c>
      <c r="U81" s="69">
        <f t="shared" si="27"/>
        <v>164.67260321025341</v>
      </c>
      <c r="V81" s="69">
        <f t="shared" si="28"/>
        <v>9.9822566517817943</v>
      </c>
    </row>
    <row r="82" spans="1:22" x14ac:dyDescent="0.3">
      <c r="A82" s="59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22" t="s">
        <v>68</v>
      </c>
      <c r="H82" s="22">
        <v>12.5</v>
      </c>
      <c r="I82" s="22">
        <v>10</v>
      </c>
      <c r="J82" s="65">
        <v>0.62621359223300976</v>
      </c>
      <c r="K82" s="70">
        <f t="shared" si="17"/>
        <v>70.533901748511354</v>
      </c>
      <c r="L82" s="70">
        <f t="shared" si="18"/>
        <v>31.148792090580091</v>
      </c>
      <c r="M82" s="70">
        <f t="shared" si="22"/>
        <v>38.114062500000003</v>
      </c>
      <c r="N82" s="68">
        <f t="shared" si="23"/>
        <v>64.069030475006201</v>
      </c>
      <c r="O82" s="69">
        <f t="shared" si="19"/>
        <v>49.803549757281559</v>
      </c>
      <c r="P82" s="69">
        <f t="shared" si="20"/>
        <v>54.695843446601948</v>
      </c>
      <c r="Q82" s="69">
        <f t="shared" si="21"/>
        <v>55.819322345441336</v>
      </c>
      <c r="R82" s="69">
        <f t="shared" si="24"/>
        <v>73.92578590684019</v>
      </c>
      <c r="S82" s="68">
        <f t="shared" si="25"/>
        <v>50.966446703524412</v>
      </c>
      <c r="T82" s="68">
        <f t="shared" si="26"/>
        <v>16.676976738150412</v>
      </c>
      <c r="U82" s="69">
        <f t="shared" si="27"/>
        <v>58.56112536404126</v>
      </c>
      <c r="V82" s="69">
        <f t="shared" si="28"/>
        <v>9.1545864488468194</v>
      </c>
    </row>
    <row r="83" spans="1:22" x14ac:dyDescent="0.3">
      <c r="A83" s="59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22" t="s">
        <v>68</v>
      </c>
      <c r="H83" s="22">
        <v>18.399999999999999</v>
      </c>
      <c r="I83" s="22">
        <v>10.3</v>
      </c>
      <c r="J83" s="65">
        <v>0.56457564575645758</v>
      </c>
      <c r="K83" s="70">
        <f t="shared" si="17"/>
        <v>187.58783357846065</v>
      </c>
      <c r="L83" s="70">
        <f t="shared" si="18"/>
        <v>81.121811287526796</v>
      </c>
      <c r="M83" s="70">
        <f t="shared" si="22"/>
        <v>85.062489024000001</v>
      </c>
      <c r="N83" s="68">
        <f t="shared" si="23"/>
        <v>96.313325356626962</v>
      </c>
      <c r="O83" s="69">
        <f t="shared" si="19"/>
        <v>100.21039938597785</v>
      </c>
      <c r="P83" s="69">
        <f t="shared" si="20"/>
        <v>110.05425001328412</v>
      </c>
      <c r="Q83" s="69">
        <f t="shared" si="21"/>
        <v>110.44584815000421</v>
      </c>
      <c r="R83" s="69">
        <f t="shared" si="24"/>
        <v>151.00130784005572</v>
      </c>
      <c r="S83" s="68">
        <f t="shared" si="25"/>
        <v>112.5213648116536</v>
      </c>
      <c r="T83" s="68">
        <f t="shared" si="26"/>
        <v>43.696673492183642</v>
      </c>
      <c r="U83" s="69">
        <f t="shared" si="27"/>
        <v>117.92795134733046</v>
      </c>
      <c r="V83" s="69">
        <f t="shared" si="28"/>
        <v>19.530332806632686</v>
      </c>
    </row>
    <row r="84" spans="1:22" x14ac:dyDescent="0.3">
      <c r="A84" s="59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22" t="s">
        <v>68</v>
      </c>
      <c r="H84" s="22">
        <v>10.6</v>
      </c>
      <c r="I84" s="22">
        <v>7</v>
      </c>
      <c r="J84" s="65">
        <v>0.60759493670886078</v>
      </c>
      <c r="K84" s="70">
        <f t="shared" si="17"/>
        <v>46.47714204591221</v>
      </c>
      <c r="L84" s="70">
        <f t="shared" si="18"/>
        <v>17.900699655890886</v>
      </c>
      <c r="M84" s="70">
        <f t="shared" si="22"/>
        <v>19.185582360000002</v>
      </c>
      <c r="N84" s="68">
        <f t="shared" si="23"/>
        <v>32.212328329531104</v>
      </c>
      <c r="O84" s="69">
        <f t="shared" si="19"/>
        <v>24.324375493670885</v>
      </c>
      <c r="P84" s="69">
        <f t="shared" si="20"/>
        <v>26.713803341772149</v>
      </c>
      <c r="Q84" s="69">
        <f t="shared" si="21"/>
        <v>27.735449378868587</v>
      </c>
      <c r="R84" s="69">
        <f t="shared" si="24"/>
        <v>44.763789597288905</v>
      </c>
      <c r="S84" s="68">
        <f t="shared" si="25"/>
        <v>28.943938097833549</v>
      </c>
      <c r="T84" s="68">
        <f t="shared" si="26"/>
        <v>11.56799720547259</v>
      </c>
      <c r="U84" s="69">
        <f t="shared" si="27"/>
        <v>30.884354452900133</v>
      </c>
      <c r="V84" s="69">
        <f t="shared" si="28"/>
        <v>8.1083466811770109</v>
      </c>
    </row>
    <row r="85" spans="1:22" x14ac:dyDescent="0.3">
      <c r="A85" s="59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22" t="s">
        <v>68</v>
      </c>
      <c r="H85" s="22">
        <v>11.2</v>
      </c>
      <c r="I85" s="22">
        <v>6.8</v>
      </c>
      <c r="J85" s="65">
        <v>0.60431654676258995</v>
      </c>
      <c r="K85" s="70">
        <f t="shared" si="17"/>
        <v>53.424094875784782</v>
      </c>
      <c r="L85" s="70">
        <f t="shared" si="18"/>
        <v>20.228474840287124</v>
      </c>
      <c r="M85" s="70">
        <f t="shared" si="22"/>
        <v>20.807033855999997</v>
      </c>
      <c r="N85" s="68">
        <f t="shared" si="23"/>
        <v>32.486755724915824</v>
      </c>
      <c r="O85" s="69">
        <f t="shared" si="19"/>
        <v>26.237788454676256</v>
      </c>
      <c r="P85" s="69">
        <f t="shared" si="20"/>
        <v>28.815174353956824</v>
      </c>
      <c r="Q85" s="69">
        <f t="shared" si="21"/>
        <v>29.862865718884397</v>
      </c>
      <c r="R85" s="69">
        <f t="shared" si="24"/>
        <v>49.496057836155352</v>
      </c>
      <c r="S85" s="68">
        <f t="shared" si="25"/>
        <v>31.736589824246931</v>
      </c>
      <c r="T85" s="68">
        <f t="shared" si="26"/>
        <v>13.442493522279348</v>
      </c>
      <c r="U85" s="69">
        <f t="shared" si="27"/>
        <v>33.602971590918209</v>
      </c>
      <c r="V85" s="69">
        <f t="shared" si="28"/>
        <v>9.2702144978582623</v>
      </c>
    </row>
    <row r="86" spans="1:22" x14ac:dyDescent="0.3">
      <c r="A86" s="59" t="s">
        <v>67</v>
      </c>
      <c r="B86" s="19" t="s">
        <v>24</v>
      </c>
      <c r="C86" s="22">
        <v>1</v>
      </c>
      <c r="D86" s="22">
        <v>1</v>
      </c>
      <c r="E86" s="22">
        <v>1</v>
      </c>
      <c r="F86" s="22">
        <v>1667</v>
      </c>
      <c r="G86" s="22" t="s">
        <v>68</v>
      </c>
      <c r="H86" s="29">
        <f>SQRT(8.9^2+9.1^2)</f>
        <v>12.728707711311467</v>
      </c>
      <c r="I86" s="22">
        <v>7.4</v>
      </c>
      <c r="J86" s="65">
        <v>0.67441860465116277</v>
      </c>
      <c r="K86" s="70">
        <f t="shared" si="17"/>
        <v>73.844795109259877</v>
      </c>
      <c r="L86" s="70">
        <f t="shared" si="18"/>
        <v>28.660728509382317</v>
      </c>
      <c r="M86" s="70">
        <f t="shared" si="22"/>
        <v>29.245938563999999</v>
      </c>
      <c r="N86" s="68">
        <f t="shared" si="23"/>
        <v>41.570556397060486</v>
      </c>
      <c r="O86" s="69">
        <f t="shared" si="19"/>
        <v>41.157375413953481</v>
      </c>
      <c r="P86" s="69">
        <f t="shared" si="20"/>
        <v>45.200339599999992</v>
      </c>
      <c r="Q86" s="69">
        <f t="shared" si="21"/>
        <v>46.340363566343278</v>
      </c>
      <c r="R86" s="69">
        <f t="shared" si="24"/>
        <v>75.099406572605446</v>
      </c>
      <c r="S86" s="68">
        <f t="shared" si="25"/>
        <v>43.330504644925668</v>
      </c>
      <c r="T86" s="68">
        <f t="shared" si="26"/>
        <v>18.356175213888115</v>
      </c>
      <c r="U86" s="69">
        <f t="shared" si="27"/>
        <v>51.949371288225549</v>
      </c>
      <c r="V86" s="69">
        <f t="shared" si="28"/>
        <v>13.503718978221755</v>
      </c>
    </row>
    <row r="87" spans="1:22" x14ac:dyDescent="0.3">
      <c r="A87" s="59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22" t="s">
        <v>68</v>
      </c>
      <c r="H87" s="22">
        <v>12.4</v>
      </c>
      <c r="I87" s="22">
        <v>8.6999999999999993</v>
      </c>
      <c r="J87" s="65">
        <v>0.6244343891402715</v>
      </c>
      <c r="K87" s="70">
        <f t="shared" si="17"/>
        <v>69.115020167033279</v>
      </c>
      <c r="L87" s="70">
        <f t="shared" si="18"/>
        <v>28.793749206298198</v>
      </c>
      <c r="M87" s="70">
        <f t="shared" si="22"/>
        <v>32.630808815999998</v>
      </c>
      <c r="N87" s="68">
        <f t="shared" si="23"/>
        <v>51.648450291631839</v>
      </c>
      <c r="O87" s="69">
        <f t="shared" si="19"/>
        <v>42.517450816289589</v>
      </c>
      <c r="P87" s="69">
        <f t="shared" si="20"/>
        <v>46.694017694117647</v>
      </c>
      <c r="Q87" s="69">
        <f t="shared" si="21"/>
        <v>47.834376051593516</v>
      </c>
      <c r="R87" s="69">
        <f t="shared" si="24"/>
        <v>69.110064770624604</v>
      </c>
      <c r="S87" s="68">
        <f t="shared" si="25"/>
        <v>45.547007120240828</v>
      </c>
      <c r="T87" s="68">
        <f t="shared" si="26"/>
        <v>16.125900572627319</v>
      </c>
      <c r="U87" s="69">
        <f t="shared" si="27"/>
        <v>51.538977333156339</v>
      </c>
      <c r="V87" s="69">
        <f t="shared" si="28"/>
        <v>10.33596583523955</v>
      </c>
    </row>
    <row r="88" spans="1:22" x14ac:dyDescent="0.3">
      <c r="A88" s="59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22" t="s">
        <v>54</v>
      </c>
      <c r="H88" s="22">
        <v>13</v>
      </c>
      <c r="I88" s="22">
        <v>9.6</v>
      </c>
      <c r="J88" s="65">
        <v>0.43252595155709345</v>
      </c>
      <c r="K88" s="70">
        <f t="shared" si="17"/>
        <v>77.891892706831428</v>
      </c>
      <c r="L88" s="70">
        <f t="shared" si="18"/>
        <v>33.693783470036891</v>
      </c>
      <c r="M88" s="70">
        <f t="shared" si="22"/>
        <v>39.575203199999997</v>
      </c>
      <c r="N88" s="68">
        <f t="shared" si="23"/>
        <v>62.544654320363392</v>
      </c>
      <c r="O88" s="69">
        <f t="shared" si="19"/>
        <v>35.718062283737027</v>
      </c>
      <c r="P88" s="69">
        <f t="shared" si="20"/>
        <v>39.226712802768162</v>
      </c>
      <c r="Q88" s="69">
        <f t="shared" si="21"/>
        <v>40.35311727239008</v>
      </c>
      <c r="R88" s="69">
        <f t="shared" si="24"/>
        <v>53.164716344182274</v>
      </c>
      <c r="S88" s="68">
        <f t="shared" si="25"/>
        <v>53.426383424307929</v>
      </c>
      <c r="T88" s="68">
        <f t="shared" si="26"/>
        <v>17.768896301885569</v>
      </c>
      <c r="U88" s="69">
        <f t="shared" si="27"/>
        <v>42.115652175769384</v>
      </c>
      <c r="V88" s="69">
        <f t="shared" si="28"/>
        <v>6.6042311325930934</v>
      </c>
    </row>
    <row r="89" spans="1:22" x14ac:dyDescent="0.3">
      <c r="A89" s="59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22" t="s">
        <v>54</v>
      </c>
      <c r="H89" s="22">
        <v>12.8</v>
      </c>
      <c r="I89" s="22">
        <v>9.4</v>
      </c>
      <c r="J89" s="65">
        <v>0.43609022556390975</v>
      </c>
      <c r="K89" s="70">
        <f t="shared" si="17"/>
        <v>74.895685278979826</v>
      </c>
      <c r="L89" s="70">
        <f t="shared" si="18"/>
        <v>32.15322768293445</v>
      </c>
      <c r="M89" s="70">
        <f t="shared" si="22"/>
        <v>37.567561728000015</v>
      </c>
      <c r="N89" s="68">
        <f t="shared" si="23"/>
        <v>59.731894624799722</v>
      </c>
      <c r="O89" s="69">
        <f t="shared" si="19"/>
        <v>34.185499332330835</v>
      </c>
      <c r="P89" s="69">
        <f t="shared" si="20"/>
        <v>37.543603392481209</v>
      </c>
      <c r="Q89" s="69">
        <f t="shared" si="21"/>
        <v>38.662348411836803</v>
      </c>
      <c r="R89" s="69">
        <f t="shared" si="24"/>
        <v>51.540180959640246</v>
      </c>
      <c r="S89" s="68">
        <f t="shared" si="25"/>
        <v>51.087092328678509</v>
      </c>
      <c r="T89" s="68">
        <f t="shared" si="26"/>
        <v>17.196297879908613</v>
      </c>
      <c r="U89" s="69">
        <f t="shared" si="27"/>
        <v>40.482908024072273</v>
      </c>
      <c r="V89" s="69">
        <f t="shared" si="28"/>
        <v>6.593075724225014</v>
      </c>
    </row>
    <row r="90" spans="1:22" x14ac:dyDescent="0.3">
      <c r="A90" s="59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22" t="s">
        <v>54</v>
      </c>
      <c r="H90" s="22">
        <v>13.8</v>
      </c>
      <c r="I90" s="22">
        <v>7.5</v>
      </c>
      <c r="J90" s="65">
        <v>0.4375</v>
      </c>
      <c r="K90" s="70">
        <f t="shared" si="17"/>
        <v>90.596133738718223</v>
      </c>
      <c r="L90" s="70">
        <f t="shared" si="18"/>
        <v>35.116049661273735</v>
      </c>
      <c r="M90" s="70">
        <f t="shared" si="22"/>
        <v>34.840521900000006</v>
      </c>
      <c r="N90" s="68">
        <f t="shared" si="23"/>
        <v>45.7601308317277</v>
      </c>
      <c r="O90" s="69">
        <f t="shared" si="19"/>
        <v>31.806455625000002</v>
      </c>
      <c r="P90" s="69">
        <f t="shared" si="20"/>
        <v>34.930861874999998</v>
      </c>
      <c r="Q90" s="69">
        <f t="shared" si="21"/>
        <v>36.034078301921397</v>
      </c>
      <c r="R90" s="69">
        <f t="shared" si="24"/>
        <v>56.136427487314705</v>
      </c>
      <c r="S90" s="68">
        <f t="shared" si="25"/>
        <v>51.578209032929919</v>
      </c>
      <c r="T90" s="68">
        <f t="shared" si="26"/>
        <v>22.953220602126418</v>
      </c>
      <c r="U90" s="69">
        <f t="shared" si="27"/>
        <v>39.726955822309023</v>
      </c>
      <c r="V90" s="69">
        <f t="shared" si="28"/>
        <v>9.6000643908282814</v>
      </c>
    </row>
    <row r="91" spans="1:22" x14ac:dyDescent="0.3">
      <c r="A91" s="59" t="s">
        <v>69</v>
      </c>
      <c r="B91" s="19" t="s">
        <v>24</v>
      </c>
      <c r="C91" s="22">
        <v>2</v>
      </c>
      <c r="D91" s="22">
        <v>1</v>
      </c>
      <c r="E91" s="22">
        <v>1</v>
      </c>
      <c r="F91" s="22">
        <v>143</v>
      </c>
      <c r="G91" s="22" t="s">
        <v>54</v>
      </c>
      <c r="H91" s="22">
        <f>SQRT(10^2+10.5^2)</f>
        <v>14.5</v>
      </c>
      <c r="I91" s="22">
        <v>9.4</v>
      </c>
      <c r="J91" s="65">
        <v>0.36301369863013699</v>
      </c>
      <c r="K91" s="70">
        <f t="shared" si="17"/>
        <v>102.67781571633475</v>
      </c>
      <c r="L91" s="70">
        <f t="shared" si="18"/>
        <v>43.606570238836049</v>
      </c>
      <c r="M91" s="70">
        <f t="shared" si="22"/>
        <v>48.209105550000004</v>
      </c>
      <c r="N91" s="68">
        <f t="shared" si="23"/>
        <v>67.162441968606117</v>
      </c>
      <c r="O91" s="69">
        <f t="shared" si="19"/>
        <v>36.517804075342468</v>
      </c>
      <c r="P91" s="69">
        <f t="shared" si="20"/>
        <v>40.105014691780831</v>
      </c>
      <c r="Q91" s="69">
        <f t="shared" si="21"/>
        <v>41.234720124023347</v>
      </c>
      <c r="R91" s="69">
        <f t="shared" si="24"/>
        <v>55.034210665303689</v>
      </c>
      <c r="S91" s="68">
        <f t="shared" si="25"/>
        <v>65.413983368444235</v>
      </c>
      <c r="T91" s="68">
        <f t="shared" si="26"/>
        <v>23.25522197744613</v>
      </c>
      <c r="U91" s="69">
        <f t="shared" si="27"/>
        <v>43.222937389112587</v>
      </c>
      <c r="V91" s="69">
        <f t="shared" si="28"/>
        <v>7.038100578281572</v>
      </c>
    </row>
    <row r="92" spans="1:22" x14ac:dyDescent="0.3">
      <c r="A92" s="59" t="s">
        <v>69</v>
      </c>
      <c r="B92" s="19" t="s">
        <v>59</v>
      </c>
      <c r="C92" s="22">
        <v>2</v>
      </c>
      <c r="D92" s="22">
        <v>1</v>
      </c>
      <c r="E92" s="22">
        <v>1</v>
      </c>
      <c r="F92" s="22">
        <v>276</v>
      </c>
      <c r="G92" s="22" t="s">
        <v>54</v>
      </c>
      <c r="H92" s="29">
        <f>SQRT(12.2^2+9^2+8.4^2+11.8^2)</f>
        <v>20.967594044143453</v>
      </c>
      <c r="I92" s="22">
        <v>6.3</v>
      </c>
      <c r="J92" s="65">
        <v>0.42028985507246375</v>
      </c>
      <c r="K92" s="70">
        <f t="shared" si="17"/>
        <v>261.0559118175932</v>
      </c>
      <c r="L92" s="70">
        <f t="shared" si="18"/>
        <v>90.638665729245702</v>
      </c>
      <c r="M92" s="70">
        <f t="shared" si="22"/>
        <v>67.562072676</v>
      </c>
      <c r="N92" s="68">
        <f t="shared" si="23"/>
        <v>52.267042953778194</v>
      </c>
      <c r="O92" s="69">
        <f t="shared" si="19"/>
        <v>59.252194278260866</v>
      </c>
      <c r="P92" s="69">
        <f t="shared" si="20"/>
        <v>65.0726455826087</v>
      </c>
      <c r="Q92" s="69">
        <f t="shared" si="21"/>
        <v>66.132972009403403</v>
      </c>
      <c r="R92" s="69">
        <f t="shared" si="24"/>
        <v>122.47605978522188</v>
      </c>
      <c r="S92" s="68">
        <f t="shared" si="25"/>
        <v>117.88092329415427</v>
      </c>
      <c r="T92" s="68">
        <f t="shared" si="26"/>
        <v>83.783032227255006</v>
      </c>
      <c r="U92" s="69">
        <f t="shared" si="27"/>
        <v>78.23346791387371</v>
      </c>
      <c r="V92" s="69">
        <f t="shared" si="28"/>
        <v>25.677445988132867</v>
      </c>
    </row>
    <row r="93" spans="1:22" x14ac:dyDescent="0.3">
      <c r="A93" s="59" t="s">
        <v>69</v>
      </c>
      <c r="B93" s="19" t="s">
        <v>30</v>
      </c>
      <c r="C93" s="22">
        <v>2</v>
      </c>
      <c r="D93" s="22">
        <v>1</v>
      </c>
      <c r="E93" s="22">
        <v>1</v>
      </c>
      <c r="F93" s="22">
        <v>78</v>
      </c>
      <c r="G93" s="22" t="s">
        <v>54</v>
      </c>
      <c r="H93" s="29">
        <f>SQRT(11.5^2+6.6^2+5.4^2)</f>
        <v>14.316773379501402</v>
      </c>
      <c r="I93" s="22">
        <v>11.9</v>
      </c>
      <c r="J93" s="65">
        <v>0.42567567567567566</v>
      </c>
      <c r="K93" s="70">
        <f t="shared" si="17"/>
        <v>99.426878853795031</v>
      </c>
      <c r="L93" s="70">
        <f t="shared" si="18"/>
        <v>46.713518059013666</v>
      </c>
      <c r="M93" s="70">
        <f t="shared" si="22"/>
        <v>59.498015199000001</v>
      </c>
      <c r="N93" s="68">
        <f t="shared" si="23"/>
        <v>94.377420043817139</v>
      </c>
      <c r="O93" s="69">
        <f t="shared" si="19"/>
        <v>52.848647689864862</v>
      </c>
      <c r="P93" s="69">
        <f t="shared" si="20"/>
        <v>58.04006691283783</v>
      </c>
      <c r="Q93" s="69">
        <f t="shared" si="21"/>
        <v>59.147933302101769</v>
      </c>
      <c r="R93" s="69">
        <f t="shared" si="24"/>
        <v>68.910093621170745</v>
      </c>
      <c r="S93" s="68">
        <f t="shared" si="25"/>
        <v>75.003958038906461</v>
      </c>
      <c r="T93" s="68">
        <f t="shared" si="26"/>
        <v>22.430968262629658</v>
      </c>
      <c r="U93" s="69">
        <f t="shared" si="27"/>
        <v>59.7366853814938</v>
      </c>
      <c r="V93" s="69">
        <f t="shared" si="28"/>
        <v>5.8056357363394477</v>
      </c>
    </row>
    <row r="94" spans="1:22" x14ac:dyDescent="0.3">
      <c r="A94" s="59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22" t="s">
        <v>71</v>
      </c>
      <c r="H94" s="29">
        <f>SQRT(13^2 + 23^2)</f>
        <v>26.419689627245813</v>
      </c>
      <c r="I94" s="22">
        <v>16.7</v>
      </c>
      <c r="J94" s="65">
        <v>0.49367088607594939</v>
      </c>
      <c r="K94" s="70">
        <f t="shared" si="17"/>
        <v>468.48175851864397</v>
      </c>
      <c r="L94" s="70">
        <f t="shared" si="18"/>
        <v>240.94520938125982</v>
      </c>
      <c r="M94" s="70">
        <f t="shared" si="22"/>
        <v>284.33944380000003</v>
      </c>
      <c r="N94" s="68">
        <f t="shared" si="23"/>
        <v>278.48344451443529</v>
      </c>
      <c r="O94" s="69">
        <f t="shared" si="19"/>
        <v>292.90527417721518</v>
      </c>
      <c r="P94" s="69">
        <f t="shared" si="20"/>
        <v>321.67789443037975</v>
      </c>
      <c r="Q94" s="69">
        <f t="shared" si="21"/>
        <v>314.61849402512235</v>
      </c>
      <c r="R94" s="69">
        <f t="shared" si="24"/>
        <v>330.42201599446668</v>
      </c>
      <c r="S94" s="68">
        <f t="shared" si="25"/>
        <v>318.06246405358479</v>
      </c>
      <c r="T94" s="68">
        <f t="shared" si="26"/>
        <v>88.426206520276651</v>
      </c>
      <c r="U94" s="69">
        <f t="shared" si="27"/>
        <v>314.90591965679596</v>
      </c>
      <c r="V94" s="69">
        <f t="shared" si="28"/>
        <v>13.880921285219825</v>
      </c>
    </row>
    <row r="95" spans="1:22" x14ac:dyDescent="0.3">
      <c r="A95" s="59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22" t="s">
        <v>71</v>
      </c>
      <c r="H95" s="29">
        <f>SQRT(12.3^2 + 1.9^2)</f>
        <v>12.445882853377659</v>
      </c>
      <c r="I95" s="22">
        <v>11.5</v>
      </c>
      <c r="J95" s="65">
        <v>0.51980198019801982</v>
      </c>
      <c r="K95" s="70">
        <f t="shared" si="17"/>
        <v>69.763878825859038</v>
      </c>
      <c r="L95" s="70">
        <f t="shared" si="18"/>
        <v>32.70008719576299</v>
      </c>
      <c r="M95" s="70">
        <f t="shared" si="22"/>
        <v>43.452470550000008</v>
      </c>
      <c r="N95" s="68">
        <f t="shared" si="23"/>
        <v>78.616145747965604</v>
      </c>
      <c r="O95" s="69">
        <f t="shared" si="19"/>
        <v>47.13081720297032</v>
      </c>
      <c r="P95" s="69">
        <f t="shared" si="20"/>
        <v>51.760563490099017</v>
      </c>
      <c r="Q95" s="69">
        <f t="shared" si="21"/>
        <v>52.893725791988182</v>
      </c>
      <c r="R95" s="69">
        <f t="shared" si="24"/>
        <v>62.855699341717568</v>
      </c>
      <c r="S95" s="68">
        <f t="shared" si="25"/>
        <v>56.133145579896905</v>
      </c>
      <c r="T95" s="68">
        <f t="shared" si="26"/>
        <v>18.716235798285116</v>
      </c>
      <c r="U95" s="69">
        <f t="shared" si="27"/>
        <v>53.66020145669377</v>
      </c>
      <c r="V95" s="69">
        <f t="shared" si="28"/>
        <v>5.7311898728572048</v>
      </c>
    </row>
    <row r="96" spans="1:22" x14ac:dyDescent="0.3">
      <c r="A96" s="59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22" t="s">
        <v>71</v>
      </c>
      <c r="H96" s="22">
        <v>17.399999999999999</v>
      </c>
      <c r="I96" s="22">
        <v>12.7</v>
      </c>
      <c r="J96" s="65">
        <v>0.44144144144144143</v>
      </c>
      <c r="K96" s="70">
        <f t="shared" si="17"/>
        <v>162.85652878990595</v>
      </c>
      <c r="L96" s="70">
        <f t="shared" si="18"/>
        <v>77.334709965199011</v>
      </c>
      <c r="M96" s="70">
        <f t="shared" si="22"/>
        <v>93.792353435999971</v>
      </c>
      <c r="N96" s="68">
        <f t="shared" si="23"/>
        <v>124.94006305756919</v>
      </c>
      <c r="O96" s="69">
        <f t="shared" si="19"/>
        <v>86.395893632432404</v>
      </c>
      <c r="P96" s="69">
        <f t="shared" si="20"/>
        <v>94.882720118918883</v>
      </c>
      <c r="Q96" s="69">
        <f t="shared" si="21"/>
        <v>95.559919524165508</v>
      </c>
      <c r="R96" s="69">
        <f t="shared" si="24"/>
        <v>110.56717415446084</v>
      </c>
      <c r="S96" s="68">
        <f t="shared" si="25"/>
        <v>114.73091381216854</v>
      </c>
      <c r="T96" s="68">
        <f t="shared" si="26"/>
        <v>32.623614599285389</v>
      </c>
      <c r="U96" s="69">
        <f t="shared" si="27"/>
        <v>96.851426857494403</v>
      </c>
      <c r="V96" s="69">
        <f t="shared" si="28"/>
        <v>8.7032134345477896</v>
      </c>
    </row>
    <row r="97" spans="1:22" x14ac:dyDescent="0.3">
      <c r="A97" s="59" t="s">
        <v>70</v>
      </c>
      <c r="B97" s="19" t="s">
        <v>30</v>
      </c>
      <c r="C97" s="22">
        <v>2</v>
      </c>
      <c r="D97" s="22">
        <v>1</v>
      </c>
      <c r="E97" s="22">
        <v>1</v>
      </c>
      <c r="F97" s="12">
        <v>85</v>
      </c>
      <c r="G97" s="22" t="s">
        <v>71</v>
      </c>
      <c r="H97" s="29">
        <f>SQRT(12.7^2+16.1^2+17.1^2)</f>
        <v>26.700374529208389</v>
      </c>
      <c r="I97" s="22">
        <v>13.1</v>
      </c>
      <c r="J97" s="65">
        <v>0.5</v>
      </c>
      <c r="K97" s="70">
        <f t="shared" si="17"/>
        <v>481.17657826855759</v>
      </c>
      <c r="L97" s="70">
        <f t="shared" si="18"/>
        <v>223.08256938292945</v>
      </c>
      <c r="M97" s="70">
        <f t="shared" si="22"/>
        <v>227.80917855300004</v>
      </c>
      <c r="N97" s="68">
        <f t="shared" si="23"/>
        <v>195.73196494423371</v>
      </c>
      <c r="O97" s="69">
        <f t="shared" si="19"/>
        <v>237.68062945000003</v>
      </c>
      <c r="P97" s="69">
        <f t="shared" si="20"/>
        <v>261.02843195000003</v>
      </c>
      <c r="Q97" s="69">
        <f t="shared" si="21"/>
        <v>256.58333558612424</v>
      </c>
      <c r="R97" s="69">
        <f t="shared" si="24"/>
        <v>315.39895624992721</v>
      </c>
      <c r="S97" s="68">
        <f t="shared" si="25"/>
        <v>281.9500727871802</v>
      </c>
      <c r="T97" s="68">
        <f t="shared" si="26"/>
        <v>115.67344335657322</v>
      </c>
      <c r="U97" s="69">
        <f t="shared" si="27"/>
        <v>267.67283830901283</v>
      </c>
      <c r="V97" s="69">
        <f t="shared" si="28"/>
        <v>28.91556731441332</v>
      </c>
    </row>
    <row r="98" spans="1:22" x14ac:dyDescent="0.3">
      <c r="A98" s="59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22" t="s">
        <v>71</v>
      </c>
      <c r="H98" s="22">
        <v>10.199999999999999</v>
      </c>
      <c r="I98" s="22">
        <v>9.5</v>
      </c>
      <c r="J98" s="65">
        <v>0.4494949494949495</v>
      </c>
      <c r="K98" s="70">
        <f t="shared" ref="K98:K129" si="29" xml:space="preserve"> EXP(-2.134 + 2.53*LN(H98))</f>
        <v>42.16712682704506</v>
      </c>
      <c r="L98" s="70">
        <f t="shared" ref="L98:L129" si="30">(0.02453 *(H98^2.443356)*(I98^0.423602))</f>
        <v>18.545241967789813</v>
      </c>
      <c r="M98" s="70">
        <f t="shared" si="22"/>
        <v>24.109553339999998</v>
      </c>
      <c r="N98" s="68">
        <f t="shared" si="23"/>
        <v>49.017861542719849</v>
      </c>
      <c r="O98" s="69">
        <f t="shared" ref="O98:O129" si="31" xml:space="preserve"> 0.0509*J98*H98^2*I98</f>
        <v>22.613435545454543</v>
      </c>
      <c r="P98" s="69">
        <f t="shared" ref="P98:P129" si="32">((0.0559)*((J98*H98^2*I98)))</f>
        <v>24.834794636363636</v>
      </c>
      <c r="Q98" s="69">
        <f t="shared" ref="Q98:Q129" si="33">((0.0673)*((J98*H98^2*I98)^0.976))</f>
        <v>25.829753348130183</v>
      </c>
      <c r="R98" s="69">
        <f t="shared" si="24"/>
        <v>33.098073540042442</v>
      </c>
      <c r="S98" s="68">
        <f t="shared" si="25"/>
        <v>33.45994591938868</v>
      </c>
      <c r="T98" s="68">
        <f t="shared" si="26"/>
        <v>12.527389724658056</v>
      </c>
      <c r="U98" s="69">
        <f t="shared" si="27"/>
        <v>26.594014267497698</v>
      </c>
      <c r="V98" s="69">
        <f t="shared" si="28"/>
        <v>3.9314991557483028</v>
      </c>
    </row>
    <row r="99" spans="1:22" x14ac:dyDescent="0.3">
      <c r="A99" s="59" t="s">
        <v>70</v>
      </c>
      <c r="B99" s="19" t="s">
        <v>30</v>
      </c>
      <c r="C99" s="22">
        <v>2</v>
      </c>
      <c r="D99" s="22">
        <v>2</v>
      </c>
      <c r="E99" s="22">
        <v>0</v>
      </c>
      <c r="F99" s="22">
        <v>800</v>
      </c>
      <c r="G99" s="22" t="s">
        <v>71</v>
      </c>
      <c r="H99" s="22">
        <v>14.6</v>
      </c>
      <c r="I99" s="22">
        <v>6.5</v>
      </c>
      <c r="J99" s="65">
        <v>0.52631578947368418</v>
      </c>
      <c r="K99" s="70">
        <f t="shared" si="29"/>
        <v>104.47883005194718</v>
      </c>
      <c r="L99" s="70">
        <f t="shared" si="30"/>
        <v>37.929560304354879</v>
      </c>
      <c r="M99" s="70">
        <f t="shared" si="22"/>
        <v>33.797477220000005</v>
      </c>
      <c r="N99" s="68">
        <f t="shared" si="23"/>
        <v>38.967033432307588</v>
      </c>
      <c r="O99" s="69">
        <f t="shared" si="31"/>
        <v>37.117887368421052</v>
      </c>
      <c r="P99" s="69">
        <f t="shared" si="32"/>
        <v>40.76404526315789</v>
      </c>
      <c r="Q99" s="69">
        <f t="shared" si="33"/>
        <v>41.89592276451657</v>
      </c>
      <c r="R99" s="69">
        <f t="shared" si="24"/>
        <v>73.485751503146403</v>
      </c>
      <c r="S99" s="68">
        <f t="shared" si="25"/>
        <v>53.793225252152411</v>
      </c>
      <c r="T99" s="68">
        <f t="shared" si="26"/>
        <v>29.327172991703108</v>
      </c>
      <c r="U99" s="69">
        <f t="shared" si="27"/>
        <v>48.315901724810473</v>
      </c>
      <c r="V99" s="69">
        <f t="shared" si="28"/>
        <v>14.638677614951453</v>
      </c>
    </row>
    <row r="100" spans="1:22" x14ac:dyDescent="0.3">
      <c r="A100" s="59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22" t="s">
        <v>21</v>
      </c>
      <c r="H100" s="22">
        <v>10.9</v>
      </c>
      <c r="I100" s="22">
        <v>8.9</v>
      </c>
      <c r="J100" s="65">
        <v>0.5536723163841808</v>
      </c>
      <c r="K100" s="70">
        <f t="shared" si="29"/>
        <v>49.877492892342957</v>
      </c>
      <c r="L100" s="70">
        <f t="shared" si="30"/>
        <v>21.215990492432166</v>
      </c>
      <c r="M100" s="70">
        <f t="shared" si="22"/>
        <v>25.793377737000004</v>
      </c>
      <c r="N100" s="68">
        <f t="shared" si="23"/>
        <v>47.331361483965239</v>
      </c>
      <c r="O100" s="69">
        <f t="shared" si="31"/>
        <v>29.799816801129943</v>
      </c>
      <c r="P100" s="69">
        <f t="shared" si="32"/>
        <v>32.727107253107349</v>
      </c>
      <c r="Q100" s="69">
        <f t="shared" si="33"/>
        <v>33.813566190380449</v>
      </c>
      <c r="R100" s="69">
        <f t="shared" si="24"/>
        <v>46.611329407870159</v>
      </c>
      <c r="S100" s="68">
        <f t="shared" si="25"/>
        <v>36.054555651435095</v>
      </c>
      <c r="T100" s="68">
        <f t="shared" si="26"/>
        <v>12.685766944890725</v>
      </c>
      <c r="U100" s="69">
        <f t="shared" si="27"/>
        <v>35.737954913121975</v>
      </c>
      <c r="V100" s="69">
        <f t="shared" si="28"/>
        <v>6.4470968801500668</v>
      </c>
    </row>
    <row r="101" spans="1:22" x14ac:dyDescent="0.3">
      <c r="A101" s="59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22" t="s">
        <v>21</v>
      </c>
      <c r="H101" s="22">
        <v>12.7</v>
      </c>
      <c r="I101" s="22">
        <v>14.6</v>
      </c>
      <c r="J101" s="65">
        <v>0.56756756756756754</v>
      </c>
      <c r="K101" s="70">
        <f t="shared" si="29"/>
        <v>73.424160491296121</v>
      </c>
      <c r="L101" s="70">
        <f t="shared" si="30"/>
        <v>38.010640786993164</v>
      </c>
      <c r="M101" s="70">
        <f t="shared" si="22"/>
        <v>57.441465762</v>
      </c>
      <c r="N101" s="68">
        <f t="shared" si="23"/>
        <v>114.43127533021973</v>
      </c>
      <c r="O101" s="69">
        <f t="shared" si="31"/>
        <v>68.029244935135125</v>
      </c>
      <c r="P101" s="69">
        <f t="shared" si="32"/>
        <v>74.711881962162153</v>
      </c>
      <c r="Q101" s="69">
        <f t="shared" si="33"/>
        <v>75.677968221351819</v>
      </c>
      <c r="R101" s="69">
        <f t="shared" si="24"/>
        <v>78.20390633865253</v>
      </c>
      <c r="S101" s="68">
        <f t="shared" si="25"/>
        <v>70.826885592627264</v>
      </c>
      <c r="T101" s="68">
        <f t="shared" si="26"/>
        <v>28.125451234036092</v>
      </c>
      <c r="U101" s="69">
        <f t="shared" si="27"/>
        <v>74.155750364325399</v>
      </c>
      <c r="V101" s="69">
        <f t="shared" si="28"/>
        <v>3.7599223770159442</v>
      </c>
    </row>
    <row r="102" spans="1:22" x14ac:dyDescent="0.3">
      <c r="A102" s="59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22" t="s">
        <v>21</v>
      </c>
      <c r="H102" s="22">
        <v>13.6</v>
      </c>
      <c r="I102" s="22">
        <v>16.100000000000001</v>
      </c>
      <c r="J102" s="65">
        <v>0.64782608695652177</v>
      </c>
      <c r="K102" s="70">
        <f t="shared" si="29"/>
        <v>87.311010340975002</v>
      </c>
      <c r="L102" s="70">
        <f t="shared" si="30"/>
        <v>46.83284013181116</v>
      </c>
      <c r="M102" s="70">
        <f t="shared" si="22"/>
        <v>72.638841408000005</v>
      </c>
      <c r="N102" s="68">
        <f t="shared" si="23"/>
        <v>141.22896600706767</v>
      </c>
      <c r="O102" s="69">
        <f t="shared" si="31"/>
        <v>98.192859519999999</v>
      </c>
      <c r="P102" s="69">
        <f t="shared" si="32"/>
        <v>107.83852352</v>
      </c>
      <c r="Q102" s="69">
        <f t="shared" si="33"/>
        <v>108.27507628589575</v>
      </c>
      <c r="R102" s="69">
        <f t="shared" si="24"/>
        <v>107.71453905887574</v>
      </c>
      <c r="S102" s="68">
        <f t="shared" si="25"/>
        <v>87.002914471963464</v>
      </c>
      <c r="T102" s="68">
        <f t="shared" si="26"/>
        <v>34.49826465067671</v>
      </c>
      <c r="U102" s="69">
        <f t="shared" si="27"/>
        <v>105.50524959619287</v>
      </c>
      <c r="V102" s="69">
        <f t="shared" si="28"/>
        <v>4.2269408456599642</v>
      </c>
    </row>
    <row r="103" spans="1:22" x14ac:dyDescent="0.3">
      <c r="A103" s="59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22" t="s">
        <v>21</v>
      </c>
      <c r="H103" s="22">
        <v>10.6</v>
      </c>
      <c r="I103" s="22">
        <v>7.7</v>
      </c>
      <c r="J103" s="65">
        <v>0.55102040816326525</v>
      </c>
      <c r="K103" s="70">
        <f t="shared" si="29"/>
        <v>46.47714204591221</v>
      </c>
      <c r="L103" s="70">
        <f t="shared" si="30"/>
        <v>18.638202678656064</v>
      </c>
      <c r="M103" s="70">
        <f t="shared" si="22"/>
        <v>21.104140596000001</v>
      </c>
      <c r="N103" s="68">
        <f t="shared" si="23"/>
        <v>37.139026396509038</v>
      </c>
      <c r="O103" s="69">
        <f t="shared" si="31"/>
        <v>24.265426114285713</v>
      </c>
      <c r="P103" s="69">
        <f t="shared" si="32"/>
        <v>26.649063257142853</v>
      </c>
      <c r="Q103" s="69">
        <f t="shared" si="33"/>
        <v>27.669844641226401</v>
      </c>
      <c r="R103" s="69">
        <f t="shared" si="24"/>
        <v>41.618413343797897</v>
      </c>
      <c r="S103" s="68">
        <f t="shared" si="25"/>
        <v>30.83962792926933</v>
      </c>
      <c r="T103" s="68">
        <f t="shared" si="26"/>
        <v>11.48769733845535</v>
      </c>
      <c r="U103" s="69">
        <f t="shared" si="27"/>
        <v>30.050686839113215</v>
      </c>
      <c r="V103" s="69">
        <f t="shared" si="28"/>
        <v>6.7919251818993054</v>
      </c>
    </row>
    <row r="104" spans="1:22" x14ac:dyDescent="0.3">
      <c r="A104" s="59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22" t="s">
        <v>21</v>
      </c>
      <c r="H104" s="22">
        <v>13.8</v>
      </c>
      <c r="I104" s="22">
        <v>12.8</v>
      </c>
      <c r="J104" s="65">
        <v>0.61440677966101698</v>
      </c>
      <c r="K104" s="70">
        <f t="shared" si="29"/>
        <v>90.596133738718223</v>
      </c>
      <c r="L104" s="70">
        <f t="shared" si="30"/>
        <v>44.039695834457007</v>
      </c>
      <c r="M104" s="70">
        <f t="shared" si="22"/>
        <v>59.461157376000017</v>
      </c>
      <c r="N104" s="68">
        <f t="shared" si="23"/>
        <v>101.65679572469709</v>
      </c>
      <c r="O104" s="69">
        <f t="shared" si="31"/>
        <v>76.232809220339007</v>
      </c>
      <c r="P104" s="69">
        <f t="shared" si="32"/>
        <v>83.721297355932222</v>
      </c>
      <c r="Q104" s="69">
        <f t="shared" si="33"/>
        <v>84.572472313041146</v>
      </c>
      <c r="R104" s="69">
        <f t="shared" si="24"/>
        <v>97.053024565573054</v>
      </c>
      <c r="S104" s="68">
        <f t="shared" si="25"/>
        <v>73.938445668468077</v>
      </c>
      <c r="T104" s="68">
        <f t="shared" si="26"/>
        <v>23.180339835868541</v>
      </c>
      <c r="U104" s="69">
        <f t="shared" si="27"/>
        <v>85.394900863721347</v>
      </c>
      <c r="V104" s="69">
        <f t="shared" si="28"/>
        <v>7.4721668368631704</v>
      </c>
    </row>
    <row r="105" spans="1:22" x14ac:dyDescent="0.3">
      <c r="A105" s="59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22" t="s">
        <v>21</v>
      </c>
      <c r="H105" s="22">
        <v>12.1</v>
      </c>
      <c r="I105" s="22">
        <v>7.7</v>
      </c>
      <c r="J105" s="65">
        <v>0.51502145922746778</v>
      </c>
      <c r="K105" s="70">
        <f t="shared" si="29"/>
        <v>64.962474973218548</v>
      </c>
      <c r="L105" s="70">
        <f t="shared" si="30"/>
        <v>25.75413237671869</v>
      </c>
      <c r="M105" s="70">
        <f t="shared" si="22"/>
        <v>27.499619301000003</v>
      </c>
      <c r="N105" s="68">
        <f t="shared" si="23"/>
        <v>42.060419543499677</v>
      </c>
      <c r="O105" s="69">
        <f t="shared" si="31"/>
        <v>29.553204103004294</v>
      </c>
      <c r="P105" s="69">
        <f t="shared" si="32"/>
        <v>32.456269339055794</v>
      </c>
      <c r="Q105" s="69">
        <f t="shared" si="33"/>
        <v>33.540425826412473</v>
      </c>
      <c r="R105" s="69">
        <f t="shared" si="24"/>
        <v>51.164125329074061</v>
      </c>
      <c r="S105" s="68">
        <f t="shared" si="25"/>
        <v>40.06916154860923</v>
      </c>
      <c r="T105" s="68">
        <f t="shared" si="26"/>
        <v>15.704741435029735</v>
      </c>
      <c r="U105" s="69">
        <f t="shared" si="27"/>
        <v>36.678506149386656</v>
      </c>
      <c r="V105" s="69">
        <f t="shared" si="28"/>
        <v>8.4893745951492043</v>
      </c>
    </row>
    <row r="106" spans="1:22" x14ac:dyDescent="0.3">
      <c r="A106" s="59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22" t="s">
        <v>68</v>
      </c>
      <c r="H106" s="22">
        <v>28.2</v>
      </c>
      <c r="I106" s="22">
        <v>12</v>
      </c>
      <c r="J106" s="65">
        <v>0.39212007504690433</v>
      </c>
      <c r="K106" s="70">
        <f t="shared" si="29"/>
        <v>552.51722213904952</v>
      </c>
      <c r="L106" s="70">
        <f t="shared" si="30"/>
        <v>245.64941979469467</v>
      </c>
      <c r="M106" s="70">
        <f t="shared" si="22"/>
        <v>232.77947184000004</v>
      </c>
      <c r="N106" s="68">
        <f t="shared" si="23"/>
        <v>180.75814264914587</v>
      </c>
      <c r="O106" s="69">
        <f t="shared" si="31"/>
        <v>190.46550042776738</v>
      </c>
      <c r="P106" s="69">
        <f t="shared" si="32"/>
        <v>209.17527453658539</v>
      </c>
      <c r="Q106" s="69">
        <f t="shared" si="33"/>
        <v>206.70893005715371</v>
      </c>
      <c r="R106" s="69">
        <f t="shared" si="24"/>
        <v>264.42669039913932</v>
      </c>
      <c r="S106" s="68">
        <f t="shared" si="25"/>
        <v>302.9260641057225</v>
      </c>
      <c r="T106" s="68">
        <f t="shared" si="26"/>
        <v>146.13513060816607</v>
      </c>
      <c r="U106" s="69">
        <f t="shared" si="27"/>
        <v>217.69409885516143</v>
      </c>
      <c r="V106" s="69">
        <f t="shared" si="28"/>
        <v>27.922105875220385</v>
      </c>
    </row>
    <row r="107" spans="1:22" x14ac:dyDescent="0.3">
      <c r="A107" s="59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22" t="s">
        <v>68</v>
      </c>
      <c r="H107" s="22">
        <v>17.100000000000001</v>
      </c>
      <c r="I107" s="22">
        <v>18.8</v>
      </c>
      <c r="J107" s="65">
        <v>0.35628742514970058</v>
      </c>
      <c r="K107" s="70">
        <f t="shared" si="29"/>
        <v>155.84602688297298</v>
      </c>
      <c r="L107" s="70">
        <f t="shared" si="30"/>
        <v>87.514860685528873</v>
      </c>
      <c r="M107" s="70">
        <f t="shared" si="22"/>
        <v>134.09583404400004</v>
      </c>
      <c r="N107" s="68">
        <f t="shared" si="23"/>
        <v>220.78846970540772</v>
      </c>
      <c r="O107" s="69">
        <f t="shared" si="31"/>
        <v>99.693845170059888</v>
      </c>
      <c r="P107" s="69">
        <f t="shared" si="32"/>
        <v>109.48695373293414</v>
      </c>
      <c r="Q107" s="69">
        <f t="shared" si="33"/>
        <v>109.89016242522811</v>
      </c>
      <c r="R107" s="69">
        <f t="shared" si="24"/>
        <v>96.687492077359821</v>
      </c>
      <c r="S107" s="68">
        <f t="shared" si="25"/>
        <v>149.56129782947741</v>
      </c>
      <c r="T107" s="68">
        <f t="shared" si="26"/>
        <v>47.962873050613418</v>
      </c>
      <c r="U107" s="69">
        <f t="shared" si="27"/>
        <v>103.93961335139548</v>
      </c>
      <c r="V107" s="69">
        <f t="shared" si="28"/>
        <v>5.8481157224293669</v>
      </c>
    </row>
    <row r="108" spans="1:22" x14ac:dyDescent="0.3">
      <c r="A108" s="59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22" t="s">
        <v>68</v>
      </c>
      <c r="H108" s="22">
        <v>17.3</v>
      </c>
      <c r="I108" s="22">
        <v>17.399999999999999</v>
      </c>
      <c r="J108" s="65">
        <v>0.36792452830188677</v>
      </c>
      <c r="K108" s="70">
        <f t="shared" si="29"/>
        <v>160.49895775400125</v>
      </c>
      <c r="L108" s="70">
        <f t="shared" si="30"/>
        <v>87.133280508749834</v>
      </c>
      <c r="M108" s="70">
        <f t="shared" si="22"/>
        <v>127.03010887800001</v>
      </c>
      <c r="N108" s="68">
        <f t="shared" si="23"/>
        <v>198.85633123630345</v>
      </c>
      <c r="O108" s="69">
        <f t="shared" si="31"/>
        <v>97.525453533962249</v>
      </c>
      <c r="P108" s="69">
        <f t="shared" si="32"/>
        <v>107.10555702452828</v>
      </c>
      <c r="Q108" s="69">
        <f t="shared" si="33"/>
        <v>107.55674627784676</v>
      </c>
      <c r="R108" s="69">
        <f t="shared" si="24"/>
        <v>99.915274994187001</v>
      </c>
      <c r="S108" s="68">
        <f t="shared" si="25"/>
        <v>143.37966959426365</v>
      </c>
      <c r="T108" s="68">
        <f t="shared" si="26"/>
        <v>41.236192946292007</v>
      </c>
      <c r="U108" s="69">
        <f t="shared" si="27"/>
        <v>103.02575795763107</v>
      </c>
      <c r="V108" s="69">
        <f t="shared" si="28"/>
        <v>4.3904176510638742</v>
      </c>
    </row>
    <row r="109" spans="1:22" x14ac:dyDescent="0.3">
      <c r="A109" s="59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22" t="s">
        <v>68</v>
      </c>
      <c r="H109" s="22">
        <v>18.3</v>
      </c>
      <c r="I109" s="22">
        <v>12.5</v>
      </c>
      <c r="J109" s="65">
        <v>0.34</v>
      </c>
      <c r="K109" s="70">
        <f t="shared" si="29"/>
        <v>185.01921441982611</v>
      </c>
      <c r="L109" s="70">
        <f t="shared" si="30"/>
        <v>86.889694113665016</v>
      </c>
      <c r="M109" s="70">
        <f t="shared" si="22"/>
        <v>102.11214712500004</v>
      </c>
      <c r="N109" s="68">
        <f t="shared" si="23"/>
        <v>127.93822863509165</v>
      </c>
      <c r="O109" s="69">
        <f t="shared" si="31"/>
        <v>72.44507925000002</v>
      </c>
      <c r="P109" s="69">
        <f t="shared" si="32"/>
        <v>79.561491750000016</v>
      </c>
      <c r="Q109" s="69">
        <f t="shared" si="33"/>
        <v>80.468737409728789</v>
      </c>
      <c r="R109" s="69">
        <f t="shared" si="24"/>
        <v>92.33571118051573</v>
      </c>
      <c r="S109" s="68">
        <f t="shared" si="25"/>
        <v>125.4898210733957</v>
      </c>
      <c r="T109" s="68">
        <f t="shared" si="26"/>
        <v>37.370539239911388</v>
      </c>
      <c r="U109" s="69">
        <f t="shared" si="27"/>
        <v>81.202754897561135</v>
      </c>
      <c r="V109" s="69">
        <f t="shared" si="28"/>
        <v>7.1391898128927966</v>
      </c>
    </row>
    <row r="110" spans="1:22" x14ac:dyDescent="0.3">
      <c r="A110" s="59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22" t="s">
        <v>68</v>
      </c>
      <c r="H110" s="22">
        <v>12.6</v>
      </c>
      <c r="I110" s="22">
        <v>13</v>
      </c>
      <c r="J110" s="65">
        <v>0.39171974522292996</v>
      </c>
      <c r="K110" s="70">
        <f t="shared" si="29"/>
        <v>71.97025720631224</v>
      </c>
      <c r="L110" s="70">
        <f t="shared" si="30"/>
        <v>35.494670894729211</v>
      </c>
      <c r="M110" s="70">
        <f t="shared" si="22"/>
        <v>50.344224840000003</v>
      </c>
      <c r="N110" s="68">
        <f t="shared" si="23"/>
        <v>95.509005216350289</v>
      </c>
      <c r="O110" s="69">
        <f t="shared" si="31"/>
        <v>41.150743681528667</v>
      </c>
      <c r="P110" s="69">
        <f t="shared" si="32"/>
        <v>45.193056420382163</v>
      </c>
      <c r="Q110" s="69">
        <f t="shared" si="33"/>
        <v>46.33307588428837</v>
      </c>
      <c r="R110" s="69">
        <f t="shared" si="24"/>
        <v>49.590999913035589</v>
      </c>
      <c r="S110" s="68">
        <f t="shared" si="25"/>
        <v>63.329539539347934</v>
      </c>
      <c r="T110" s="68">
        <f t="shared" si="26"/>
        <v>22.658212216334743</v>
      </c>
      <c r="U110" s="69">
        <f t="shared" si="27"/>
        <v>45.566968974808702</v>
      </c>
      <c r="V110" s="69">
        <f t="shared" si="28"/>
        <v>3.0175570097317035</v>
      </c>
    </row>
    <row r="111" spans="1:22" x14ac:dyDescent="0.3">
      <c r="A111" s="59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22" t="s">
        <v>68</v>
      </c>
      <c r="H111" s="22">
        <v>26.5</v>
      </c>
      <c r="I111" s="22">
        <v>16.3</v>
      </c>
      <c r="J111" s="65">
        <v>0.41425818882466281</v>
      </c>
      <c r="K111" s="70">
        <f t="shared" si="29"/>
        <v>472.09308233065354</v>
      </c>
      <c r="L111" s="70">
        <f t="shared" si="30"/>
        <v>240.25862504870284</v>
      </c>
      <c r="M111" s="70">
        <f t="shared" si="22"/>
        <v>279.21874327500007</v>
      </c>
      <c r="N111" s="68">
        <f t="shared" si="23"/>
        <v>269.3499012533162</v>
      </c>
      <c r="O111" s="69">
        <f t="shared" si="31"/>
        <v>241.36163364643545</v>
      </c>
      <c r="P111" s="69">
        <f t="shared" si="32"/>
        <v>265.0710279142582</v>
      </c>
      <c r="Q111" s="69">
        <f t="shared" si="33"/>
        <v>260.46100241808335</v>
      </c>
      <c r="R111" s="69">
        <f t="shared" si="24"/>
        <v>273.04816205079283</v>
      </c>
      <c r="S111" s="68">
        <f t="shared" si="25"/>
        <v>315.23008797691818</v>
      </c>
      <c r="T111" s="68">
        <f t="shared" si="26"/>
        <v>91.690413528691337</v>
      </c>
      <c r="U111" s="69">
        <f t="shared" si="27"/>
        <v>259.98545650739243</v>
      </c>
      <c r="V111" s="69">
        <f t="shared" si="28"/>
        <v>11.657296368770426</v>
      </c>
    </row>
    <row r="112" spans="1:22" x14ac:dyDescent="0.3">
      <c r="A112" s="59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22" t="s">
        <v>21</v>
      </c>
      <c r="H112" s="22">
        <v>26.2</v>
      </c>
      <c r="I112" s="22">
        <v>25.4</v>
      </c>
      <c r="J112" s="65">
        <v>0.71966527196652719</v>
      </c>
      <c r="K112" s="70">
        <f t="shared" si="29"/>
        <v>458.6884902777303</v>
      </c>
      <c r="L112" s="70">
        <f t="shared" si="30"/>
        <v>281.96999082390749</v>
      </c>
      <c r="M112" s="70">
        <f t="shared" si="22"/>
        <v>425.30600536799994</v>
      </c>
      <c r="N112" s="68">
        <f t="shared" si="23"/>
        <v>516.81003094250354</v>
      </c>
      <c r="O112" s="69">
        <f t="shared" si="31"/>
        <v>638.6819278861924</v>
      </c>
      <c r="P112" s="69">
        <f t="shared" si="32"/>
        <v>701.42082060585767</v>
      </c>
      <c r="Q112" s="69">
        <f t="shared" si="33"/>
        <v>673.31192321658455</v>
      </c>
      <c r="R112" s="69">
        <f t="shared" si="24"/>
        <v>561.8682444819467</v>
      </c>
      <c r="S112" s="68">
        <f t="shared" si="25"/>
        <v>420.69362935303531</v>
      </c>
      <c r="T112" s="68">
        <f t="shared" si="26"/>
        <v>86.526721321304066</v>
      </c>
      <c r="U112" s="69">
        <f t="shared" si="27"/>
        <v>643.82072904764527</v>
      </c>
      <c r="V112" s="69">
        <f t="shared" si="28"/>
        <v>52.273602527692077</v>
      </c>
    </row>
    <row r="113" spans="1:22" x14ac:dyDescent="0.3">
      <c r="A113" s="59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22" t="s">
        <v>21</v>
      </c>
      <c r="H113" s="22">
        <v>13.4</v>
      </c>
      <c r="I113" s="22">
        <v>9.1999999999999993</v>
      </c>
      <c r="J113" s="65">
        <v>0.52684563758389258</v>
      </c>
      <c r="K113" s="70">
        <f t="shared" si="29"/>
        <v>84.098977486623539</v>
      </c>
      <c r="L113" s="70">
        <f t="shared" si="30"/>
        <v>35.635123737706081</v>
      </c>
      <c r="M113" s="70">
        <f t="shared" si="22"/>
        <v>40.296065136000003</v>
      </c>
      <c r="N113" s="68">
        <f t="shared" si="23"/>
        <v>60.389994146942342</v>
      </c>
      <c r="O113" s="69">
        <f t="shared" si="31"/>
        <v>44.299476569127513</v>
      </c>
      <c r="P113" s="69">
        <f t="shared" si="32"/>
        <v>48.651095092617439</v>
      </c>
      <c r="Q113" s="69">
        <f t="shared" si="33"/>
        <v>49.790161749182154</v>
      </c>
      <c r="R113" s="69">
        <f t="shared" si="24"/>
        <v>69.084035106412657</v>
      </c>
      <c r="S113" s="68">
        <f t="shared" si="25"/>
        <v>55.10504012681799</v>
      </c>
      <c r="T113" s="68">
        <f t="shared" si="26"/>
        <v>19.150473408618645</v>
      </c>
      <c r="U113" s="69">
        <f t="shared" si="27"/>
        <v>52.956192129334937</v>
      </c>
      <c r="V113" s="69">
        <f t="shared" si="28"/>
        <v>9.5341970328813854</v>
      </c>
    </row>
    <row r="114" spans="1:22" x14ac:dyDescent="0.3">
      <c r="A114" s="59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22" t="s">
        <v>21</v>
      </c>
      <c r="H114" s="22">
        <v>18.2</v>
      </c>
      <c r="I114" s="22">
        <v>15.5</v>
      </c>
      <c r="J114" s="65">
        <v>0.48806366047745359</v>
      </c>
      <c r="K114" s="70">
        <f t="shared" si="29"/>
        <v>182.47198110230858</v>
      </c>
      <c r="L114" s="70">
        <f t="shared" si="30"/>
        <v>93.913369430866794</v>
      </c>
      <c r="M114" s="70">
        <f t="shared" si="22"/>
        <v>125.23902845999999</v>
      </c>
      <c r="N114" s="68">
        <f t="shared" si="23"/>
        <v>175.49391333885745</v>
      </c>
      <c r="O114" s="69">
        <f t="shared" si="31"/>
        <v>127.54655393103447</v>
      </c>
      <c r="P114" s="69">
        <f t="shared" si="32"/>
        <v>140.07568496551721</v>
      </c>
      <c r="Q114" s="69">
        <f t="shared" si="33"/>
        <v>139.76266990555814</v>
      </c>
      <c r="R114" s="69">
        <f t="shared" si="24"/>
        <v>144.94334119994252</v>
      </c>
      <c r="S114" s="68">
        <f t="shared" si="25"/>
        <v>144.27957308300819</v>
      </c>
      <c r="T114" s="68">
        <f t="shared" si="26"/>
        <v>36.511271813613988</v>
      </c>
      <c r="U114" s="69">
        <f t="shared" si="27"/>
        <v>138.08206250051308</v>
      </c>
      <c r="V114" s="69">
        <f t="shared" si="28"/>
        <v>6.4201452084758746</v>
      </c>
    </row>
    <row r="115" spans="1:22" x14ac:dyDescent="0.3">
      <c r="A115" s="59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22" t="s">
        <v>21</v>
      </c>
      <c r="H115" s="22">
        <v>13.7</v>
      </c>
      <c r="I115" s="22">
        <v>8.9</v>
      </c>
      <c r="J115" s="65">
        <v>0.50764525993883791</v>
      </c>
      <c r="K115" s="70">
        <f t="shared" si="29"/>
        <v>88.94440014742446</v>
      </c>
      <c r="L115" s="70">
        <f t="shared" si="30"/>
        <v>37.091472251702669</v>
      </c>
      <c r="M115" s="70">
        <f t="shared" si="22"/>
        <v>40.747067312999995</v>
      </c>
      <c r="N115" s="68">
        <f t="shared" si="23"/>
        <v>58.682250152619801</v>
      </c>
      <c r="O115" s="69">
        <f t="shared" si="31"/>
        <v>43.16276509296636</v>
      </c>
      <c r="P115" s="69">
        <f t="shared" si="32"/>
        <v>47.402722371253816</v>
      </c>
      <c r="Q115" s="69">
        <f t="shared" si="33"/>
        <v>48.542835974039988</v>
      </c>
      <c r="R115" s="69">
        <f t="shared" si="24"/>
        <v>68.771291653211193</v>
      </c>
      <c r="S115" s="68">
        <f t="shared" si="25"/>
        <v>56.366297466186737</v>
      </c>
      <c r="T115" s="68">
        <f t="shared" si="26"/>
        <v>20.507167337190864</v>
      </c>
      <c r="U115" s="69">
        <f t="shared" si="27"/>
        <v>51.969903772867845</v>
      </c>
      <c r="V115" s="69">
        <f t="shared" si="28"/>
        <v>9.90525449049359</v>
      </c>
    </row>
    <row r="116" spans="1:22" x14ac:dyDescent="0.3">
      <c r="A116" s="59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22" t="s">
        <v>21</v>
      </c>
      <c r="H116" s="22">
        <v>13.9</v>
      </c>
      <c r="I116" s="22">
        <v>12.3</v>
      </c>
      <c r="J116" s="65">
        <v>0.54304635761589404</v>
      </c>
      <c r="K116" s="70">
        <f t="shared" si="29"/>
        <v>92.266281958862521</v>
      </c>
      <c r="L116" s="70">
        <f t="shared" si="30"/>
        <v>44.073303437249265</v>
      </c>
      <c r="M116" s="70">
        <f t="shared" si="22"/>
        <v>57.969549819000008</v>
      </c>
      <c r="N116" s="68">
        <f t="shared" si="23"/>
        <v>96.437222959735195</v>
      </c>
      <c r="O116" s="69">
        <f t="shared" si="31"/>
        <v>65.688508247682122</v>
      </c>
      <c r="P116" s="69">
        <f t="shared" si="32"/>
        <v>72.14121043311259</v>
      </c>
      <c r="Q116" s="69">
        <f t="shared" si="33"/>
        <v>73.135487808863445</v>
      </c>
      <c r="R116" s="69">
        <f t="shared" si="24"/>
        <v>85.112630744970375</v>
      </c>
      <c r="S116" s="68">
        <f t="shared" si="25"/>
        <v>72.686589543711747</v>
      </c>
      <c r="T116" s="68">
        <f t="shared" si="26"/>
        <v>22.264143498028758</v>
      </c>
      <c r="U116" s="69">
        <f t="shared" si="27"/>
        <v>74.019459308657133</v>
      </c>
      <c r="V116" s="69">
        <f t="shared" si="28"/>
        <v>7.0137796969025281</v>
      </c>
    </row>
    <row r="117" spans="1:22" x14ac:dyDescent="0.3">
      <c r="A117" s="59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22" t="s">
        <v>21</v>
      </c>
      <c r="H117" s="22">
        <v>17.7</v>
      </c>
      <c r="I117" s="22">
        <v>16.5</v>
      </c>
      <c r="J117" s="65">
        <v>0.56195965417867433</v>
      </c>
      <c r="K117" s="70">
        <f t="shared" si="29"/>
        <v>170.05442589514973</v>
      </c>
      <c r="L117" s="70">
        <f t="shared" si="30"/>
        <v>90.088457330316984</v>
      </c>
      <c r="M117" s="70">
        <f t="shared" si="22"/>
        <v>126.094369005</v>
      </c>
      <c r="N117" s="68">
        <f t="shared" si="23"/>
        <v>187.68584034807049</v>
      </c>
      <c r="O117" s="69">
        <f t="shared" si="31"/>
        <v>147.86091719740631</v>
      </c>
      <c r="P117" s="69">
        <f t="shared" si="32"/>
        <v>162.38556525216137</v>
      </c>
      <c r="Q117" s="69">
        <f t="shared" si="33"/>
        <v>161.44902365326683</v>
      </c>
      <c r="R117" s="69">
        <f t="shared" si="24"/>
        <v>162.49734376781083</v>
      </c>
      <c r="S117" s="68">
        <f t="shared" si="25"/>
        <v>143.48077314463433</v>
      </c>
      <c r="T117" s="68">
        <f t="shared" si="26"/>
        <v>38.122412777419221</v>
      </c>
      <c r="U117" s="69">
        <f t="shared" si="27"/>
        <v>158.54821246766136</v>
      </c>
      <c r="V117" s="69">
        <f t="shared" si="28"/>
        <v>6.1837266301697085</v>
      </c>
    </row>
    <row r="118" spans="1:22" x14ac:dyDescent="0.3">
      <c r="A118" s="59" t="s">
        <v>75</v>
      </c>
      <c r="B118" s="19" t="s">
        <v>26</v>
      </c>
      <c r="C118" s="22">
        <v>1</v>
      </c>
      <c r="D118" s="22">
        <v>3</v>
      </c>
      <c r="E118" s="22">
        <v>2</v>
      </c>
      <c r="F118" s="22">
        <v>1218</v>
      </c>
      <c r="G118" s="22" t="s">
        <v>21</v>
      </c>
      <c r="H118" s="29">
        <f>SQRT(12.8^2 + 15.4^2 + 11.7^2 + 12.2^2 + 14^2 + 14.3^2)</f>
        <v>32.973019273339226</v>
      </c>
      <c r="I118" s="22">
        <v>10.6</v>
      </c>
      <c r="J118" s="65">
        <v>0.77419354838709675</v>
      </c>
      <c r="K118" s="70">
        <f t="shared" si="29"/>
        <v>820.64840210087539</v>
      </c>
      <c r="L118" s="70">
        <f t="shared" si="30"/>
        <v>341.52411303325323</v>
      </c>
      <c r="M118" s="70">
        <f t="shared" si="22"/>
        <v>281.11790907599999</v>
      </c>
      <c r="N118" s="68">
        <f t="shared" si="23"/>
        <v>173.98014254060726</v>
      </c>
      <c r="O118" s="69">
        <f t="shared" si="31"/>
        <v>454.14091261935476</v>
      </c>
      <c r="P118" s="69">
        <f t="shared" si="32"/>
        <v>498.75200423225806</v>
      </c>
      <c r="Q118" s="69">
        <f t="shared" si="33"/>
        <v>482.69918099264936</v>
      </c>
      <c r="R118" s="69">
        <f t="shared" si="24"/>
        <v>733.59362743466488</v>
      </c>
      <c r="S118" s="68">
        <f t="shared" si="25"/>
        <v>404.31764168768393</v>
      </c>
      <c r="T118" s="68">
        <f t="shared" si="26"/>
        <v>247.74375215937386</v>
      </c>
      <c r="U118" s="69">
        <f t="shared" si="27"/>
        <v>542.29643131973182</v>
      </c>
      <c r="V118" s="69">
        <f t="shared" si="28"/>
        <v>111.59520833764857</v>
      </c>
    </row>
    <row r="119" spans="1:22" x14ac:dyDescent="0.3">
      <c r="A119" s="59" t="s">
        <v>75</v>
      </c>
      <c r="B119" s="19" t="s">
        <v>26</v>
      </c>
      <c r="C119" s="22">
        <v>1</v>
      </c>
      <c r="D119" s="22">
        <v>2</v>
      </c>
      <c r="E119" s="22">
        <v>2</v>
      </c>
      <c r="F119" s="22">
        <v>1357</v>
      </c>
      <c r="G119" s="22" t="s">
        <v>21</v>
      </c>
      <c r="H119" s="29">
        <f>SQRT(17^2+22.3^2)</f>
        <v>28.040863039500049</v>
      </c>
      <c r="I119" s="22">
        <v>10.6</v>
      </c>
      <c r="J119" s="65">
        <v>0.70508474576271185</v>
      </c>
      <c r="K119" s="70">
        <f t="shared" si="29"/>
        <v>544.66285394282977</v>
      </c>
      <c r="L119" s="70">
        <f t="shared" si="30"/>
        <v>229.87350039465781</v>
      </c>
      <c r="M119" s="70">
        <f t="shared" si="22"/>
        <v>203.307702882</v>
      </c>
      <c r="N119" s="68">
        <f t="shared" si="23"/>
        <v>149.39610058097563</v>
      </c>
      <c r="O119" s="69">
        <f t="shared" si="31"/>
        <v>299.12156126372878</v>
      </c>
      <c r="P119" s="69">
        <f t="shared" si="32"/>
        <v>328.50481875525418</v>
      </c>
      <c r="Q119" s="69">
        <f t="shared" si="33"/>
        <v>321.13369942874283</v>
      </c>
      <c r="R119" s="69">
        <f t="shared" si="24"/>
        <v>471.24352896407055</v>
      </c>
      <c r="S119" s="68">
        <f t="shared" si="25"/>
        <v>281.81003945011582</v>
      </c>
      <c r="T119" s="68">
        <f t="shared" si="26"/>
        <v>154.50329626685499</v>
      </c>
      <c r="U119" s="69">
        <f t="shared" si="27"/>
        <v>355.00090210294906</v>
      </c>
      <c r="V119" s="69">
        <f t="shared" si="28"/>
        <v>67.977714881318875</v>
      </c>
    </row>
    <row r="120" spans="1:22" x14ac:dyDescent="0.3">
      <c r="A120" s="59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22" t="s">
        <v>21</v>
      </c>
      <c r="H120" s="22">
        <v>10.8</v>
      </c>
      <c r="I120" s="22">
        <v>11.9</v>
      </c>
      <c r="J120" s="65">
        <v>0.79661016949152541</v>
      </c>
      <c r="K120" s="70">
        <f t="shared" si="29"/>
        <v>48.72789795466781</v>
      </c>
      <c r="L120" s="70">
        <f t="shared" si="30"/>
        <v>23.459757883099737</v>
      </c>
      <c r="M120" s="70">
        <f t="shared" si="22"/>
        <v>33.857874288000012</v>
      </c>
      <c r="N120" s="68">
        <f t="shared" si="23"/>
        <v>72.404520854523639</v>
      </c>
      <c r="O120" s="69">
        <f t="shared" si="31"/>
        <v>56.28051994576272</v>
      </c>
      <c r="P120" s="69">
        <f t="shared" si="32"/>
        <v>61.809058250847464</v>
      </c>
      <c r="Q120" s="69">
        <f t="shared" si="33"/>
        <v>62.893826058894199</v>
      </c>
      <c r="R120" s="69">
        <f t="shared" si="24"/>
        <v>74.661647430156137</v>
      </c>
      <c r="S120" s="68">
        <f t="shared" si="25"/>
        <v>44.612512745072799</v>
      </c>
      <c r="T120" s="68">
        <f t="shared" si="26"/>
        <v>18.387722784321401</v>
      </c>
      <c r="U120" s="69">
        <f t="shared" si="27"/>
        <v>63.91126292141513</v>
      </c>
      <c r="V120" s="69">
        <f t="shared" si="28"/>
        <v>6.6942782974047939</v>
      </c>
    </row>
    <row r="121" spans="1:22" x14ac:dyDescent="0.3">
      <c r="A121" s="59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22" t="s">
        <v>21</v>
      </c>
      <c r="H121" s="22">
        <v>21.3</v>
      </c>
      <c r="I121" s="22">
        <v>17.899999999999999</v>
      </c>
      <c r="J121" s="65">
        <v>0.75510204081632648</v>
      </c>
      <c r="K121" s="70">
        <f t="shared" si="29"/>
        <v>271.65391748539332</v>
      </c>
      <c r="L121" s="70">
        <f t="shared" si="30"/>
        <v>146.5928783098862</v>
      </c>
      <c r="M121" s="70">
        <f t="shared" si="22"/>
        <v>198.09679704300001</v>
      </c>
      <c r="N121" s="68">
        <f t="shared" si="23"/>
        <v>252.25778718838637</v>
      </c>
      <c r="O121" s="69">
        <f t="shared" si="31"/>
        <v>312.13010914897956</v>
      </c>
      <c r="P121" s="69">
        <f t="shared" si="32"/>
        <v>342.7912200673469</v>
      </c>
      <c r="Q121" s="69">
        <f t="shared" si="33"/>
        <v>334.75734669186596</v>
      </c>
      <c r="R121" s="69">
        <f t="shared" si="24"/>
        <v>339.39760515110208</v>
      </c>
      <c r="S121" s="68">
        <f t="shared" si="25"/>
        <v>217.15034500666647</v>
      </c>
      <c r="T121" s="68">
        <f t="shared" si="26"/>
        <v>48.848146602910177</v>
      </c>
      <c r="U121" s="69">
        <f t="shared" si="27"/>
        <v>332.26907026482365</v>
      </c>
      <c r="V121" s="69">
        <f t="shared" si="28"/>
        <v>11.971851574573622</v>
      </c>
    </row>
    <row r="122" spans="1:22" x14ac:dyDescent="0.3">
      <c r="A122" s="59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22" t="s">
        <v>21</v>
      </c>
      <c r="H122" s="22">
        <v>11.9</v>
      </c>
      <c r="I122" s="22">
        <v>13.4</v>
      </c>
      <c r="J122" s="65">
        <v>0.75838926174496646</v>
      </c>
      <c r="K122" s="70">
        <f t="shared" si="29"/>
        <v>62.280112436143334</v>
      </c>
      <c r="L122" s="70">
        <f t="shared" si="30"/>
        <v>31.266949802560418</v>
      </c>
      <c r="M122" s="70">
        <f t="shared" si="22"/>
        <v>46.287522582000008</v>
      </c>
      <c r="N122" s="68">
        <f t="shared" si="23"/>
        <v>94.701696089932511</v>
      </c>
      <c r="O122" s="69">
        <f t="shared" si="31"/>
        <v>73.250177018791945</v>
      </c>
      <c r="P122" s="69">
        <f t="shared" si="32"/>
        <v>80.445675743624165</v>
      </c>
      <c r="Q122" s="69">
        <f t="shared" si="33"/>
        <v>81.341425469080789</v>
      </c>
      <c r="R122" s="69">
        <f t="shared" si="24"/>
        <v>90.470979779618958</v>
      </c>
      <c r="S122" s="68">
        <f t="shared" si="25"/>
        <v>58.634070227659066</v>
      </c>
      <c r="T122" s="68">
        <f t="shared" si="26"/>
        <v>23.534887817107645</v>
      </c>
      <c r="U122" s="69">
        <f t="shared" si="27"/>
        <v>81.377064502778964</v>
      </c>
      <c r="V122" s="69">
        <f t="shared" si="28"/>
        <v>6.1158472512222612</v>
      </c>
    </row>
    <row r="123" spans="1:22" x14ac:dyDescent="0.3">
      <c r="A123" s="59" t="s">
        <v>76</v>
      </c>
      <c r="B123" s="19" t="s">
        <v>38</v>
      </c>
      <c r="C123" s="22">
        <v>2</v>
      </c>
      <c r="D123" s="22">
        <v>1</v>
      </c>
      <c r="E123" s="22">
        <v>1</v>
      </c>
      <c r="F123" s="22">
        <v>242</v>
      </c>
      <c r="G123" s="22" t="s">
        <v>21</v>
      </c>
      <c r="H123" s="22">
        <v>11</v>
      </c>
      <c r="I123" s="22">
        <v>9</v>
      </c>
      <c r="J123" s="65">
        <v>0.67080745341614911</v>
      </c>
      <c r="K123" s="70">
        <f t="shared" si="29"/>
        <v>51.043338183515544</v>
      </c>
      <c r="L123" s="70">
        <f t="shared" si="30"/>
        <v>21.797648714839099</v>
      </c>
      <c r="M123" s="70">
        <f t="shared" si="22"/>
        <v>26.563977000000001</v>
      </c>
      <c r="N123" s="68">
        <f t="shared" si="23"/>
        <v>48.542699145954231</v>
      </c>
      <c r="O123" s="69">
        <f t="shared" si="31"/>
        <v>37.182924223602484</v>
      </c>
      <c r="P123" s="69">
        <f t="shared" si="32"/>
        <v>40.835470807453419</v>
      </c>
      <c r="Q123" s="69">
        <f t="shared" si="33"/>
        <v>41.967568234387777</v>
      </c>
      <c r="R123" s="69">
        <f t="shared" si="24"/>
        <v>58.650623882365572</v>
      </c>
      <c r="S123" s="68">
        <f t="shared" si="25"/>
        <v>36.986915761077221</v>
      </c>
      <c r="T123" s="68">
        <f t="shared" si="26"/>
        <v>12.946723782248226</v>
      </c>
      <c r="U123" s="69">
        <f t="shared" si="27"/>
        <v>44.659146786952313</v>
      </c>
      <c r="V123" s="69">
        <f t="shared" si="28"/>
        <v>8.2692265090067067</v>
      </c>
    </row>
    <row r="124" spans="1:22" x14ac:dyDescent="0.3">
      <c r="A124" s="59" t="s">
        <v>76</v>
      </c>
      <c r="B124" s="19" t="s">
        <v>38</v>
      </c>
      <c r="C124" s="22">
        <v>2</v>
      </c>
      <c r="D124" s="22">
        <v>1</v>
      </c>
      <c r="E124" s="22">
        <v>2</v>
      </c>
      <c r="F124" s="22">
        <v>254</v>
      </c>
      <c r="G124" s="22" t="s">
        <v>21</v>
      </c>
      <c r="H124" s="22">
        <v>11.5</v>
      </c>
      <c r="I124" s="22">
        <v>13.4</v>
      </c>
      <c r="J124" s="65">
        <v>0.73529411764705888</v>
      </c>
      <c r="K124" s="70">
        <f t="shared" si="29"/>
        <v>57.119067892186884</v>
      </c>
      <c r="L124" s="70">
        <f t="shared" si="30"/>
        <v>28.760989756863481</v>
      </c>
      <c r="M124" s="70">
        <f t="shared" si="22"/>
        <v>43.228054950000008</v>
      </c>
      <c r="N124" s="68">
        <f t="shared" si="23"/>
        <v>91.705713182981071</v>
      </c>
      <c r="O124" s="69">
        <f t="shared" si="31"/>
        <v>66.325319852941192</v>
      </c>
      <c r="P124" s="69">
        <f t="shared" si="32"/>
        <v>72.840577205882354</v>
      </c>
      <c r="Q124" s="69">
        <f t="shared" si="33"/>
        <v>73.827397145167581</v>
      </c>
      <c r="R124" s="69">
        <f t="shared" si="24"/>
        <v>81.416489268982119</v>
      </c>
      <c r="S124" s="68">
        <f t="shared" si="25"/>
        <v>55.203456445507861</v>
      </c>
      <c r="T124" s="68">
        <f t="shared" si="26"/>
        <v>23.338265786588217</v>
      </c>
      <c r="U124" s="69">
        <f t="shared" si="27"/>
        <v>73.602445868243308</v>
      </c>
      <c r="V124" s="69">
        <f t="shared" si="28"/>
        <v>5.3536642649426138</v>
      </c>
    </row>
    <row r="125" spans="1:22" x14ac:dyDescent="0.3">
      <c r="A125" s="59" t="s">
        <v>76</v>
      </c>
      <c r="B125" s="19" t="s">
        <v>24</v>
      </c>
      <c r="C125" s="22">
        <v>2</v>
      </c>
      <c r="D125" s="22">
        <v>3</v>
      </c>
      <c r="E125" s="22">
        <v>1</v>
      </c>
      <c r="F125" s="22">
        <v>677</v>
      </c>
      <c r="G125" s="22" t="s">
        <v>21</v>
      </c>
      <c r="H125" s="22">
        <v>10.5</v>
      </c>
      <c r="I125" s="22">
        <v>4.9000000000000004</v>
      </c>
      <c r="J125" s="65">
        <v>0.77319587628865982</v>
      </c>
      <c r="K125" s="70">
        <f t="shared" si="29"/>
        <v>45.375821659690011</v>
      </c>
      <c r="L125" s="70">
        <f t="shared" si="30"/>
        <v>15.03816996843894</v>
      </c>
      <c r="M125" s="70">
        <f t="shared" si="22"/>
        <v>13.177708425000001</v>
      </c>
      <c r="N125" s="68">
        <f t="shared" si="23"/>
        <v>18.743423170454584</v>
      </c>
      <c r="O125" s="69">
        <f t="shared" si="31"/>
        <v>21.260916881443304</v>
      </c>
      <c r="P125" s="69">
        <f t="shared" si="32"/>
        <v>23.349415592783505</v>
      </c>
      <c r="Q125" s="69">
        <f t="shared" si="33"/>
        <v>24.320837754272034</v>
      </c>
      <c r="R125" s="69">
        <f t="shared" si="24"/>
        <v>50.385968663590184</v>
      </c>
      <c r="S125" s="68">
        <f t="shared" si="25"/>
        <v>23.083780805895884</v>
      </c>
      <c r="T125" s="68">
        <f t="shared" si="26"/>
        <v>13.025320663942525</v>
      </c>
      <c r="U125" s="69">
        <f t="shared" si="27"/>
        <v>29.829284723022255</v>
      </c>
      <c r="V125" s="69">
        <f t="shared" si="28"/>
        <v>11.919793140545293</v>
      </c>
    </row>
    <row r="126" spans="1:22" x14ac:dyDescent="0.3">
      <c r="A126" s="59" t="s">
        <v>77</v>
      </c>
      <c r="B126" s="7" t="s">
        <v>30</v>
      </c>
      <c r="C126" s="16">
        <v>1</v>
      </c>
      <c r="D126" s="16">
        <v>1</v>
      </c>
      <c r="E126" s="16">
        <v>2</v>
      </c>
      <c r="F126" s="16">
        <v>1314</v>
      </c>
      <c r="G126" s="16" t="s">
        <v>21</v>
      </c>
      <c r="H126" s="21">
        <v>16.5</v>
      </c>
      <c r="I126" s="16">
        <v>15.3</v>
      </c>
      <c r="J126" s="52">
        <v>0.75735244099999999</v>
      </c>
      <c r="K126" s="70">
        <f t="shared" si="29"/>
        <v>142.38031665600735</v>
      </c>
      <c r="L126" s="70">
        <f t="shared" si="30"/>
        <v>73.499080795266934</v>
      </c>
      <c r="M126" s="70">
        <f t="shared" si="22"/>
        <v>101.60721202500001</v>
      </c>
      <c r="N126" s="68">
        <f t="shared" si="23"/>
        <v>156.96345458332061</v>
      </c>
      <c r="O126" s="69">
        <f t="shared" si="31"/>
        <v>160.57396489001843</v>
      </c>
      <c r="P126" s="69">
        <f t="shared" si="32"/>
        <v>176.34743884778055</v>
      </c>
      <c r="Q126" s="69">
        <f t="shared" si="33"/>
        <v>174.98363603353306</v>
      </c>
      <c r="R126" s="69">
        <f t="shared" si="24"/>
        <v>188.33710380350232</v>
      </c>
      <c r="S126" s="68">
        <f t="shared" si="25"/>
        <v>118.61251601489872</v>
      </c>
      <c r="T126" s="68">
        <f t="shared" si="26"/>
        <v>33.015546480026423</v>
      </c>
      <c r="U126" s="69">
        <f t="shared" si="27"/>
        <v>175.06053589370859</v>
      </c>
      <c r="V126" s="69">
        <f t="shared" si="28"/>
        <v>9.8461925091633162</v>
      </c>
    </row>
    <row r="127" spans="1:22" x14ac:dyDescent="0.3">
      <c r="A127" s="59" t="s">
        <v>77</v>
      </c>
      <c r="B127" s="7" t="s">
        <v>30</v>
      </c>
      <c r="C127" s="16">
        <v>1</v>
      </c>
      <c r="D127" s="16">
        <v>1</v>
      </c>
      <c r="E127" s="16">
        <v>1</v>
      </c>
      <c r="F127" s="16">
        <v>1306</v>
      </c>
      <c r="G127" s="16" t="s">
        <v>21</v>
      </c>
      <c r="H127" s="21">
        <v>24.6</v>
      </c>
      <c r="I127" s="16">
        <v>17.5</v>
      </c>
      <c r="J127" s="52">
        <v>0.65525423699999996</v>
      </c>
      <c r="K127" s="70">
        <f t="shared" si="29"/>
        <v>391.09421914374781</v>
      </c>
      <c r="L127" s="70">
        <f t="shared" si="30"/>
        <v>206.4432042633467</v>
      </c>
      <c r="M127" s="70">
        <f t="shared" si="22"/>
        <v>258.32918790000002</v>
      </c>
      <c r="N127" s="68">
        <f t="shared" si="23"/>
        <v>279.25712743219509</v>
      </c>
      <c r="O127" s="69">
        <f t="shared" si="31"/>
        <v>353.21235235654598</v>
      </c>
      <c r="P127" s="69">
        <f t="shared" si="32"/>
        <v>387.90904708705153</v>
      </c>
      <c r="Q127" s="69">
        <f t="shared" si="33"/>
        <v>377.69525652615175</v>
      </c>
      <c r="R127" s="69">
        <f t="shared" si="24"/>
        <v>391.76452658691107</v>
      </c>
      <c r="S127" s="68">
        <f t="shared" si="25"/>
        <v>283.7809346848224</v>
      </c>
      <c r="T127" s="68">
        <f t="shared" si="26"/>
        <v>67.38976519948109</v>
      </c>
      <c r="U127" s="69">
        <f t="shared" si="27"/>
        <v>377.64529563916506</v>
      </c>
      <c r="V127" s="69">
        <f t="shared" si="28"/>
        <v>15.013897644196943</v>
      </c>
    </row>
    <row r="128" spans="1:22" x14ac:dyDescent="0.3">
      <c r="A128" s="59" t="s">
        <v>77</v>
      </c>
      <c r="B128" s="7" t="s">
        <v>20</v>
      </c>
      <c r="C128" s="16">
        <v>1</v>
      </c>
      <c r="D128" s="16">
        <v>2</v>
      </c>
      <c r="E128" s="16">
        <v>2</v>
      </c>
      <c r="F128" s="16">
        <v>7469</v>
      </c>
      <c r="G128" s="16" t="s">
        <v>21</v>
      </c>
      <c r="H128" s="21">
        <v>28.6</v>
      </c>
      <c r="I128" s="16">
        <v>20.2</v>
      </c>
      <c r="J128" s="52">
        <v>0.74020527800000002</v>
      </c>
      <c r="K128" s="70">
        <f t="shared" si="29"/>
        <v>572.56083746634545</v>
      </c>
      <c r="L128" s="70">
        <f t="shared" si="30"/>
        <v>317.00614746405529</v>
      </c>
      <c r="M128" s="70">
        <f t="shared" si="22"/>
        <v>403.04046525600006</v>
      </c>
      <c r="N128" s="68">
        <f t="shared" si="23"/>
        <v>398.63085541186723</v>
      </c>
      <c r="O128" s="69">
        <f t="shared" si="31"/>
        <v>622.5201243459353</v>
      </c>
      <c r="P128" s="69">
        <f t="shared" si="32"/>
        <v>683.67141357441619</v>
      </c>
      <c r="Q128" s="69">
        <f t="shared" si="33"/>
        <v>656.67763088313222</v>
      </c>
      <c r="R128" s="69">
        <f t="shared" si="24"/>
        <v>644.59924393682184</v>
      </c>
      <c r="S128" s="68">
        <f t="shared" si="25"/>
        <v>422.80957639956705</v>
      </c>
      <c r="T128" s="68">
        <f t="shared" si="26"/>
        <v>92.998970517971188</v>
      </c>
      <c r="U128" s="69">
        <f t="shared" si="27"/>
        <v>651.86710318507642</v>
      </c>
      <c r="V128" s="69">
        <f t="shared" si="28"/>
        <v>22.072167321723665</v>
      </c>
    </row>
    <row r="129" spans="1:22" x14ac:dyDescent="0.3">
      <c r="A129" s="59" t="s">
        <v>77</v>
      </c>
      <c r="B129" s="7" t="s">
        <v>26</v>
      </c>
      <c r="C129" s="16">
        <v>2</v>
      </c>
      <c r="D129" s="16">
        <v>3</v>
      </c>
      <c r="E129" s="16">
        <v>1</v>
      </c>
      <c r="F129" s="16">
        <v>651</v>
      </c>
      <c r="G129" s="16" t="s">
        <v>21</v>
      </c>
      <c r="H129" s="21">
        <v>11.8</v>
      </c>
      <c r="I129" s="16">
        <v>9.5</v>
      </c>
      <c r="J129" s="52">
        <v>0.70946454000000003</v>
      </c>
      <c r="K129" s="70">
        <f t="shared" si="29"/>
        <v>60.964505308279705</v>
      </c>
      <c r="L129" s="70">
        <f t="shared" si="30"/>
        <v>26.476011234385098</v>
      </c>
      <c r="M129" s="70">
        <f t="shared" si="22"/>
        <v>32.266572540000006</v>
      </c>
      <c r="N129" s="68">
        <f t="shared" si="23"/>
        <v>56.215086609727123</v>
      </c>
      <c r="O129" s="69">
        <f t="shared" si="31"/>
        <v>47.767894164859086</v>
      </c>
      <c r="P129" s="69">
        <f t="shared" si="32"/>
        <v>52.460221685965081</v>
      </c>
      <c r="Q129" s="69">
        <f t="shared" si="33"/>
        <v>53.591429095261901</v>
      </c>
      <c r="R129" s="69">
        <f t="shared" si="24"/>
        <v>73.585987010627235</v>
      </c>
      <c r="S129" s="68">
        <f t="shared" si="25"/>
        <v>43.980543923097983</v>
      </c>
      <c r="T129" s="68">
        <f t="shared" si="26"/>
        <v>14.84726211544195</v>
      </c>
      <c r="U129" s="69">
        <f t="shared" si="27"/>
        <v>56.851382989178326</v>
      </c>
      <c r="V129" s="69">
        <f t="shared" si="28"/>
        <v>9.9053815923154236</v>
      </c>
    </row>
    <row r="130" spans="1:22" x14ac:dyDescent="0.3">
      <c r="A130" s="59" t="s">
        <v>77</v>
      </c>
      <c r="B130" s="7" t="s">
        <v>20</v>
      </c>
      <c r="C130" s="16">
        <v>2</v>
      </c>
      <c r="D130" s="16">
        <v>3</v>
      </c>
      <c r="E130" s="16">
        <v>1</v>
      </c>
      <c r="F130" s="16">
        <v>714</v>
      </c>
      <c r="G130" s="16" t="s">
        <v>21</v>
      </c>
      <c r="H130" s="21">
        <v>32.700000000000003</v>
      </c>
      <c r="I130" s="16">
        <v>11.9</v>
      </c>
      <c r="J130" s="52">
        <v>0.67114569800000001</v>
      </c>
      <c r="K130" s="70">
        <f t="shared" ref="K130:K161" si="34" xml:space="preserve"> EXP(-2.134 + 2.53*LN(H130))</f>
        <v>803.56569838652558</v>
      </c>
      <c r="L130" s="70">
        <f t="shared" ref="L130:L161" si="35">(0.02453 *(H130^2.443356)*(I130^0.423602))</f>
        <v>351.46390570298178</v>
      </c>
      <c r="M130" s="70">
        <f t="shared" si="22"/>
        <v>310.38997254300011</v>
      </c>
      <c r="N130" s="68">
        <f t="shared" si="23"/>
        <v>205.17555869038333</v>
      </c>
      <c r="O130" s="69">
        <f t="shared" ref="O130:O161" si="36" xml:space="preserve"> 0.0509*J130*H130^2*I130</f>
        <v>434.68740802794849</v>
      </c>
      <c r="P130" s="69">
        <f t="shared" ref="P130:P161" si="37">((0.0559)*((J130*H130^2*I130)))</f>
        <v>477.38754634110649</v>
      </c>
      <c r="Q130" s="69">
        <f t="shared" ref="Q130:Q161" si="38">((0.0673)*((J130*H130^2*I130)^0.976))</f>
        <v>462.50807442063626</v>
      </c>
      <c r="R130" s="69">
        <f t="shared" si="24"/>
        <v>642.84923476199901</v>
      </c>
      <c r="S130" s="68">
        <f t="shared" si="25"/>
        <v>417.64878383072266</v>
      </c>
      <c r="T130" s="68">
        <f t="shared" si="26"/>
        <v>229.10784962187978</v>
      </c>
      <c r="U130" s="69">
        <f t="shared" si="27"/>
        <v>504.35806588792252</v>
      </c>
      <c r="V130" s="69">
        <f t="shared" si="28"/>
        <v>81.413504919618433</v>
      </c>
    </row>
    <row r="131" spans="1:22" x14ac:dyDescent="0.3">
      <c r="A131" s="59" t="s">
        <v>77</v>
      </c>
      <c r="B131" s="7" t="s">
        <v>44</v>
      </c>
      <c r="C131" s="16">
        <v>2</v>
      </c>
      <c r="D131" s="16">
        <v>2</v>
      </c>
      <c r="E131" s="16">
        <v>1</v>
      </c>
      <c r="F131" s="16">
        <v>359</v>
      </c>
      <c r="G131" s="16" t="s">
        <v>21</v>
      </c>
      <c r="H131" s="21">
        <v>38.6</v>
      </c>
      <c r="I131" s="16">
        <v>19.8</v>
      </c>
      <c r="J131" s="52">
        <v>0.69286545499999996</v>
      </c>
      <c r="K131" s="70">
        <f t="shared" si="34"/>
        <v>1222.5917375460801</v>
      </c>
      <c r="L131" s="70">
        <f t="shared" si="35"/>
        <v>653.98099322685073</v>
      </c>
      <c r="M131" s="70">
        <f t="shared" ref="M131:M179" si="39">0.024393*((H131^2)*I131)</f>
        <v>719.62296674400011</v>
      </c>
      <c r="N131" s="68">
        <f t="shared" ref="N131:N179" si="40">10^(-0.717903255+0.940214879*LOG(H131)+1.345432588*LOG(I131)*1.109844005)</f>
        <v>512.9045002617778</v>
      </c>
      <c r="O131" s="69">
        <f t="shared" si="36"/>
        <v>1040.4147263120547</v>
      </c>
      <c r="P131" s="69">
        <f t="shared" si="37"/>
        <v>1142.6165658319028</v>
      </c>
      <c r="Q131" s="69">
        <f t="shared" si="38"/>
        <v>1084.0568139281822</v>
      </c>
      <c r="R131" s="69">
        <f t="shared" ref="R131:R179" si="41">EXP(-1.305+1.055*LN(H131^2)+0.34*LN(I131)+1.077*LN(J131))</f>
        <v>1122.5093143692143</v>
      </c>
      <c r="S131" s="68">
        <f t="shared" ref="S131:S179" si="42">AVERAGE(K131:N131)</f>
        <v>777.27504944467717</v>
      </c>
      <c r="T131" s="68">
        <f t="shared" ref="T131:T179" si="43">_xlfn.STDEV.P(K131:N131)</f>
        <v>267.73304190706483</v>
      </c>
      <c r="U131" s="69">
        <f t="shared" ref="U131:U179" si="44">AVERAGE(O131:R131)</f>
        <v>1097.3993551103385</v>
      </c>
      <c r="V131" s="69">
        <f t="shared" ref="V131:V179" si="45">_xlfn.STDEV.P(O131:R131)</f>
        <v>39.052456785381906</v>
      </c>
    </row>
    <row r="132" spans="1:22" x14ac:dyDescent="0.3">
      <c r="A132" s="59" t="s">
        <v>78</v>
      </c>
      <c r="B132" s="7" t="s">
        <v>38</v>
      </c>
      <c r="C132" s="16">
        <v>1</v>
      </c>
      <c r="D132" s="16">
        <v>1</v>
      </c>
      <c r="E132" s="16"/>
      <c r="F132" s="16">
        <v>337</v>
      </c>
      <c r="G132" s="22" t="s">
        <v>21</v>
      </c>
      <c r="H132" s="21">
        <v>46.2</v>
      </c>
      <c r="I132" s="16">
        <v>20.5</v>
      </c>
      <c r="J132" s="52">
        <v>0.34851888800000003</v>
      </c>
      <c r="K132" s="70">
        <f t="shared" si="34"/>
        <v>1926.4590143327539</v>
      </c>
      <c r="L132" s="70">
        <f t="shared" si="35"/>
        <v>1029.6083739389062</v>
      </c>
      <c r="M132" s="70">
        <f t="shared" si="39"/>
        <v>1067.3405958600001</v>
      </c>
      <c r="N132" s="68">
        <f t="shared" si="40"/>
        <v>639.66911453192836</v>
      </c>
      <c r="O132" s="69">
        <f t="shared" si="36"/>
        <v>776.21479117562319</v>
      </c>
      <c r="P132" s="69">
        <f t="shared" si="37"/>
        <v>852.46378834415202</v>
      </c>
      <c r="Q132" s="69">
        <f t="shared" si="38"/>
        <v>814.48081106697123</v>
      </c>
      <c r="R132" s="69">
        <f t="shared" si="41"/>
        <v>791.79786903099875</v>
      </c>
      <c r="S132" s="68">
        <f t="shared" si="42"/>
        <v>1165.7692746658972</v>
      </c>
      <c r="T132" s="68">
        <f t="shared" si="43"/>
        <v>470.01549288977617</v>
      </c>
      <c r="U132" s="69">
        <f t="shared" si="44"/>
        <v>808.73931490443636</v>
      </c>
      <c r="V132" s="69">
        <f t="shared" si="45"/>
        <v>28.677742187250157</v>
      </c>
    </row>
    <row r="133" spans="1:22" x14ac:dyDescent="0.3">
      <c r="A133" s="59" t="s">
        <v>78</v>
      </c>
      <c r="B133" s="7" t="s">
        <v>30</v>
      </c>
      <c r="C133" s="16">
        <v>1</v>
      </c>
      <c r="D133" s="16">
        <v>1</v>
      </c>
      <c r="E133" s="16"/>
      <c r="F133" s="16">
        <v>192</v>
      </c>
      <c r="G133" s="22" t="s">
        <v>21</v>
      </c>
      <c r="H133" s="21">
        <v>29.5</v>
      </c>
      <c r="I133" s="16">
        <v>21.3</v>
      </c>
      <c r="J133" s="52">
        <v>0.39513025550000003</v>
      </c>
      <c r="K133" s="70">
        <f t="shared" si="34"/>
        <v>619.24894597258606</v>
      </c>
      <c r="L133" s="70">
        <f t="shared" si="35"/>
        <v>349.70371555523764</v>
      </c>
      <c r="M133" s="70">
        <f t="shared" si="39"/>
        <v>452.15657572500004</v>
      </c>
      <c r="N133" s="68">
        <f t="shared" si="40"/>
        <v>444.23078649597579</v>
      </c>
      <c r="O133" s="69">
        <f t="shared" si="36"/>
        <v>372.80497821400485</v>
      </c>
      <c r="P133" s="69">
        <f t="shared" si="37"/>
        <v>409.42629238041008</v>
      </c>
      <c r="Q133" s="69">
        <f t="shared" si="38"/>
        <v>398.12976800021079</v>
      </c>
      <c r="R133" s="69">
        <f t="shared" si="41"/>
        <v>356.37604784308274</v>
      </c>
      <c r="S133" s="68">
        <f t="shared" si="42"/>
        <v>466.33500593719987</v>
      </c>
      <c r="T133" s="68">
        <f t="shared" si="43"/>
        <v>97.050444813116741</v>
      </c>
      <c r="U133" s="69">
        <f t="shared" si="44"/>
        <v>384.18427160942713</v>
      </c>
      <c r="V133" s="69">
        <f t="shared" si="45"/>
        <v>20.823196857148737</v>
      </c>
    </row>
    <row r="134" spans="1:22" x14ac:dyDescent="0.3">
      <c r="A134" s="59" t="s">
        <v>78</v>
      </c>
      <c r="B134" s="7" t="s">
        <v>30</v>
      </c>
      <c r="C134" s="16">
        <v>1</v>
      </c>
      <c r="D134" s="16">
        <v>1</v>
      </c>
      <c r="E134" s="16"/>
      <c r="F134" s="16">
        <v>217</v>
      </c>
      <c r="G134" s="22" t="s">
        <v>21</v>
      </c>
      <c r="H134" s="21">
        <v>20.7</v>
      </c>
      <c r="I134" s="16">
        <v>11.7</v>
      </c>
      <c r="J134" s="52">
        <v>0.36545761399999999</v>
      </c>
      <c r="K134" s="70">
        <f t="shared" si="34"/>
        <v>252.70890714773958</v>
      </c>
      <c r="L134" s="70">
        <f t="shared" si="35"/>
        <v>114.17401012337645</v>
      </c>
      <c r="M134" s="70">
        <f t="shared" si="39"/>
        <v>122.29023186899998</v>
      </c>
      <c r="N134" s="68">
        <f t="shared" si="40"/>
        <v>130.14528788855191</v>
      </c>
      <c r="O134" s="69">
        <f t="shared" si="36"/>
        <v>93.256980463103801</v>
      </c>
      <c r="P134" s="69">
        <f t="shared" si="37"/>
        <v>102.4177840449411</v>
      </c>
      <c r="Q134" s="69">
        <f t="shared" si="38"/>
        <v>102.95975625215505</v>
      </c>
      <c r="R134" s="69">
        <f t="shared" si="41"/>
        <v>126.56155076276887</v>
      </c>
      <c r="S134" s="68">
        <f t="shared" si="42"/>
        <v>154.82960925716696</v>
      </c>
      <c r="T134" s="68">
        <f t="shared" si="43"/>
        <v>56.792080210883206</v>
      </c>
      <c r="U134" s="69">
        <f t="shared" si="44"/>
        <v>106.29901788074221</v>
      </c>
      <c r="V134" s="69">
        <f t="shared" si="45"/>
        <v>12.317463447384467</v>
      </c>
    </row>
    <row r="135" spans="1:22" x14ac:dyDescent="0.3">
      <c r="A135" s="59" t="s">
        <v>78</v>
      </c>
      <c r="B135" s="19" t="s">
        <v>38</v>
      </c>
      <c r="C135" s="22">
        <v>2</v>
      </c>
      <c r="D135" s="22">
        <v>3</v>
      </c>
      <c r="E135" s="22">
        <v>1</v>
      </c>
      <c r="F135" s="22">
        <v>615</v>
      </c>
      <c r="G135" s="22" t="s">
        <v>21</v>
      </c>
      <c r="H135" s="21">
        <v>35</v>
      </c>
      <c r="I135" s="16">
        <v>16.600000000000001</v>
      </c>
      <c r="J135" s="52">
        <v>0.44823586999999998</v>
      </c>
      <c r="K135" s="70">
        <f t="shared" si="34"/>
        <v>954.35010983835559</v>
      </c>
      <c r="L135" s="70">
        <f t="shared" si="35"/>
        <v>477.79950456275907</v>
      </c>
      <c r="M135" s="70">
        <f t="shared" si="39"/>
        <v>496.03165500000006</v>
      </c>
      <c r="N135" s="68">
        <f t="shared" si="40"/>
        <v>359.53622144956159</v>
      </c>
      <c r="O135" s="69">
        <f t="shared" si="36"/>
        <v>463.94720959730506</v>
      </c>
      <c r="P135" s="69">
        <f t="shared" si="37"/>
        <v>509.521591679555</v>
      </c>
      <c r="Q135" s="69">
        <f t="shared" si="38"/>
        <v>492.86937097590055</v>
      </c>
      <c r="R135" s="69">
        <f t="shared" si="41"/>
        <v>537.94594895406692</v>
      </c>
      <c r="S135" s="68">
        <f t="shared" si="42"/>
        <v>571.92937271266908</v>
      </c>
      <c r="T135" s="68">
        <f t="shared" si="43"/>
        <v>226.92364713661851</v>
      </c>
      <c r="U135" s="69">
        <f t="shared" si="44"/>
        <v>501.07103030170686</v>
      </c>
      <c r="V135" s="69">
        <f t="shared" si="45"/>
        <v>26.817050977913791</v>
      </c>
    </row>
    <row r="136" spans="1:22" x14ac:dyDescent="0.3">
      <c r="A136" s="59" t="s">
        <v>78</v>
      </c>
      <c r="B136" s="7" t="s">
        <v>38</v>
      </c>
      <c r="C136" s="16">
        <v>2</v>
      </c>
      <c r="D136" s="16">
        <v>3</v>
      </c>
      <c r="E136" s="16"/>
      <c r="F136" s="16">
        <v>353</v>
      </c>
      <c r="G136" s="22" t="s">
        <v>21</v>
      </c>
      <c r="H136" s="21">
        <v>26.9</v>
      </c>
      <c r="I136" s="16">
        <v>16.100000000000001</v>
      </c>
      <c r="J136" s="52">
        <v>0.3787728655</v>
      </c>
      <c r="K136" s="70">
        <f t="shared" si="34"/>
        <v>490.33042722669046</v>
      </c>
      <c r="L136" s="70">
        <f t="shared" si="35"/>
        <v>247.91637598233569</v>
      </c>
      <c r="M136" s="70">
        <f t="shared" si="39"/>
        <v>284.181401553</v>
      </c>
      <c r="N136" s="68">
        <f t="shared" si="40"/>
        <v>268.18099567729178</v>
      </c>
      <c r="O136" s="69">
        <f t="shared" si="36"/>
        <v>224.60896047271882</v>
      </c>
      <c r="P136" s="69">
        <f t="shared" si="37"/>
        <v>246.67270904567741</v>
      </c>
      <c r="Q136" s="69">
        <f t="shared" si="38"/>
        <v>242.80148391391114</v>
      </c>
      <c r="R136" s="69">
        <f t="shared" si="41"/>
        <v>254.83427594105876</v>
      </c>
      <c r="S136" s="68">
        <f t="shared" si="42"/>
        <v>322.65230010982953</v>
      </c>
      <c r="T136" s="68">
        <f t="shared" si="43"/>
        <v>97.658263489272429</v>
      </c>
      <c r="U136" s="69">
        <f t="shared" si="44"/>
        <v>242.22935734334155</v>
      </c>
      <c r="V136" s="69">
        <f t="shared" si="45"/>
        <v>11.06156704423848</v>
      </c>
    </row>
    <row r="137" spans="1:22" x14ac:dyDescent="0.3">
      <c r="A137" s="59" t="s">
        <v>79</v>
      </c>
      <c r="B137" s="7" t="s">
        <v>24</v>
      </c>
      <c r="C137" s="16">
        <v>1</v>
      </c>
      <c r="D137" s="16">
        <v>1</v>
      </c>
      <c r="E137" s="16">
        <v>1</v>
      </c>
      <c r="F137" s="16">
        <v>1672</v>
      </c>
      <c r="G137" s="16" t="s">
        <v>21</v>
      </c>
      <c r="H137" s="21">
        <v>12.4</v>
      </c>
      <c r="I137" s="16">
        <v>11.2</v>
      </c>
      <c r="J137" s="52">
        <v>0.77426842799999995</v>
      </c>
      <c r="K137" s="70">
        <f t="shared" si="34"/>
        <v>69.115020167033279</v>
      </c>
      <c r="L137" s="70">
        <f t="shared" si="35"/>
        <v>32.045484049176238</v>
      </c>
      <c r="M137" s="70">
        <f t="shared" si="39"/>
        <v>42.007478016000007</v>
      </c>
      <c r="N137" s="68">
        <f t="shared" si="40"/>
        <v>75.311574022789912</v>
      </c>
      <c r="O137" s="69">
        <f t="shared" si="36"/>
        <v>67.868886809968743</v>
      </c>
      <c r="P137" s="69">
        <f t="shared" si="37"/>
        <v>74.535771565368421</v>
      </c>
      <c r="Q137" s="69">
        <f t="shared" si="38"/>
        <v>75.503856946655816</v>
      </c>
      <c r="R137" s="69">
        <f t="shared" si="41"/>
        <v>94.937061332243715</v>
      </c>
      <c r="S137" s="68">
        <f t="shared" si="42"/>
        <v>54.619889063749852</v>
      </c>
      <c r="T137" s="68">
        <f t="shared" si="43"/>
        <v>18.075752586994472</v>
      </c>
      <c r="U137" s="69">
        <f t="shared" si="44"/>
        <v>78.211394163559177</v>
      </c>
      <c r="V137" s="69">
        <f t="shared" si="45"/>
        <v>10.094012580014036</v>
      </c>
    </row>
    <row r="138" spans="1:22" x14ac:dyDescent="0.3">
      <c r="A138" s="59" t="s">
        <v>79</v>
      </c>
      <c r="B138" s="7" t="s">
        <v>26</v>
      </c>
      <c r="C138" s="16">
        <v>1</v>
      </c>
      <c r="D138" s="16">
        <v>3</v>
      </c>
      <c r="E138" s="16">
        <v>1</v>
      </c>
      <c r="F138" s="16">
        <v>1203</v>
      </c>
      <c r="G138" s="16" t="s">
        <v>21</v>
      </c>
      <c r="H138" s="21">
        <v>16.399999999999999</v>
      </c>
      <c r="I138" s="16">
        <v>15.3</v>
      </c>
      <c r="J138" s="52">
        <v>0.747475</v>
      </c>
      <c r="K138" s="70">
        <f t="shared" si="34"/>
        <v>140.20726290139211</v>
      </c>
      <c r="L138" s="70">
        <f t="shared" si="35"/>
        <v>72.415446511971069</v>
      </c>
      <c r="M138" s="70">
        <f t="shared" si="39"/>
        <v>100.379341584</v>
      </c>
      <c r="N138" s="68">
        <f t="shared" si="40"/>
        <v>156.06887173848568</v>
      </c>
      <c r="O138" s="69">
        <f t="shared" si="36"/>
        <v>156.56460300252002</v>
      </c>
      <c r="P138" s="69">
        <f t="shared" si="37"/>
        <v>171.94423001652001</v>
      </c>
      <c r="Q138" s="69">
        <f t="shared" si="38"/>
        <v>170.71805093263515</v>
      </c>
      <c r="R138" s="69">
        <f t="shared" si="41"/>
        <v>183.32636299059052</v>
      </c>
      <c r="S138" s="68">
        <f t="shared" si="42"/>
        <v>117.26773068396221</v>
      </c>
      <c r="T138" s="68">
        <f t="shared" si="43"/>
        <v>32.896412294216454</v>
      </c>
      <c r="U138" s="69">
        <f t="shared" si="44"/>
        <v>170.63831173556642</v>
      </c>
      <c r="V138" s="69">
        <f t="shared" si="45"/>
        <v>9.4969429693036389</v>
      </c>
    </row>
    <row r="139" spans="1:22" x14ac:dyDescent="0.3">
      <c r="A139" s="59" t="s">
        <v>79</v>
      </c>
      <c r="B139" s="7" t="s">
        <v>20</v>
      </c>
      <c r="C139" s="16">
        <v>1</v>
      </c>
      <c r="D139" s="16">
        <v>2</v>
      </c>
      <c r="E139" s="16">
        <v>2</v>
      </c>
      <c r="F139" s="16">
        <v>7465</v>
      </c>
      <c r="G139" s="16" t="s">
        <v>21</v>
      </c>
      <c r="H139" s="21">
        <v>28.1</v>
      </c>
      <c r="I139" s="16">
        <v>13.1</v>
      </c>
      <c r="J139" s="52">
        <v>0.75615252483599993</v>
      </c>
      <c r="K139" s="70">
        <f t="shared" si="34"/>
        <v>547.57368008803201</v>
      </c>
      <c r="L139" s="70">
        <f t="shared" si="35"/>
        <v>252.74419093530184</v>
      </c>
      <c r="M139" s="70">
        <f t="shared" si="39"/>
        <v>252.31853316300004</v>
      </c>
      <c r="N139" s="68">
        <f t="shared" si="40"/>
        <v>205.36392328584037</v>
      </c>
      <c r="O139" s="69">
        <f t="shared" si="36"/>
        <v>398.11736818056943</v>
      </c>
      <c r="P139" s="69">
        <f t="shared" si="37"/>
        <v>437.22516466196129</v>
      </c>
      <c r="Q139" s="69">
        <f t="shared" si="38"/>
        <v>424.49185943663838</v>
      </c>
      <c r="R139" s="69">
        <f t="shared" si="41"/>
        <v>548.46713308919868</v>
      </c>
      <c r="S139" s="68">
        <f t="shared" si="42"/>
        <v>314.50008186804359</v>
      </c>
      <c r="T139" s="68">
        <f t="shared" si="43"/>
        <v>135.93595768002919</v>
      </c>
      <c r="U139" s="69">
        <f t="shared" si="44"/>
        <v>452.07538134209199</v>
      </c>
      <c r="V139" s="69">
        <f t="shared" si="45"/>
        <v>57.411271988543689</v>
      </c>
    </row>
    <row r="140" spans="1:22" x14ac:dyDescent="0.3">
      <c r="A140" s="59" t="s">
        <v>79</v>
      </c>
      <c r="B140" s="7" t="s">
        <v>30</v>
      </c>
      <c r="C140" s="16">
        <v>2</v>
      </c>
      <c r="D140" s="16">
        <v>1</v>
      </c>
      <c r="E140" s="16">
        <v>2</v>
      </c>
      <c r="F140" s="16">
        <v>98</v>
      </c>
      <c r="G140" s="16" t="s">
        <v>21</v>
      </c>
      <c r="H140" s="21">
        <v>11.8</v>
      </c>
      <c r="I140" s="16">
        <v>16.5</v>
      </c>
      <c r="J140" s="52">
        <v>0.74150346499999997</v>
      </c>
      <c r="K140" s="70">
        <f t="shared" si="34"/>
        <v>60.964505308279705</v>
      </c>
      <c r="L140" s="70">
        <f t="shared" si="35"/>
        <v>33.451493763344914</v>
      </c>
      <c r="M140" s="70">
        <f t="shared" si="39"/>
        <v>56.041941780000002</v>
      </c>
      <c r="N140" s="68">
        <f t="shared" si="40"/>
        <v>128.19405563521292</v>
      </c>
      <c r="O140" s="69">
        <f t="shared" si="36"/>
        <v>86.71194463057401</v>
      </c>
      <c r="P140" s="69">
        <f t="shared" si="37"/>
        <v>95.229817384068511</v>
      </c>
      <c r="Q140" s="69">
        <f t="shared" si="38"/>
        <v>95.901089352373248</v>
      </c>
      <c r="R140" s="69">
        <f t="shared" si="41"/>
        <v>93.105037121132554</v>
      </c>
      <c r="S140" s="68">
        <f t="shared" si="42"/>
        <v>69.66299912170939</v>
      </c>
      <c r="T140" s="68">
        <f t="shared" si="43"/>
        <v>35.349521547802489</v>
      </c>
      <c r="U140" s="69">
        <f t="shared" si="44"/>
        <v>92.736972122037088</v>
      </c>
      <c r="V140" s="69">
        <f t="shared" si="45"/>
        <v>3.6284412446733825</v>
      </c>
    </row>
    <row r="141" spans="1:22" x14ac:dyDescent="0.3">
      <c r="A141" s="59" t="s">
        <v>79</v>
      </c>
      <c r="B141" s="7" t="s">
        <v>26</v>
      </c>
      <c r="C141" s="16">
        <v>2</v>
      </c>
      <c r="D141" s="16">
        <v>3</v>
      </c>
      <c r="E141" s="16">
        <v>2</v>
      </c>
      <c r="F141" s="16">
        <v>668</v>
      </c>
      <c r="G141" s="16" t="s">
        <v>21</v>
      </c>
      <c r="H141" s="21">
        <v>13.9</v>
      </c>
      <c r="I141" s="16">
        <v>8.5</v>
      </c>
      <c r="J141" s="52">
        <v>0.77283480800000004</v>
      </c>
      <c r="K141" s="70">
        <f t="shared" si="34"/>
        <v>92.266281958862521</v>
      </c>
      <c r="L141" s="70">
        <f t="shared" si="35"/>
        <v>37.687153301887513</v>
      </c>
      <c r="M141" s="70">
        <f t="shared" si="39"/>
        <v>40.060258005000001</v>
      </c>
      <c r="N141" s="68">
        <f t="shared" si="40"/>
        <v>55.539691959815336</v>
      </c>
      <c r="O141" s="69">
        <f t="shared" si="36"/>
        <v>64.603044144204659</v>
      </c>
      <c r="P141" s="69">
        <f t="shared" si="37"/>
        <v>70.949119207486063</v>
      </c>
      <c r="Q141" s="69">
        <f t="shared" si="38"/>
        <v>71.955736017915456</v>
      </c>
      <c r="R141" s="69">
        <f t="shared" si="41"/>
        <v>109.76874844245815</v>
      </c>
      <c r="S141" s="68">
        <f t="shared" si="42"/>
        <v>56.388346306391348</v>
      </c>
      <c r="T141" s="68">
        <f t="shared" si="43"/>
        <v>21.819071750721655</v>
      </c>
      <c r="U141" s="69">
        <f t="shared" si="44"/>
        <v>79.319161953016078</v>
      </c>
      <c r="V141" s="69">
        <f t="shared" si="45"/>
        <v>17.804627894205925</v>
      </c>
    </row>
    <row r="142" spans="1:22" x14ac:dyDescent="0.3">
      <c r="A142" s="59" t="s">
        <v>79</v>
      </c>
      <c r="B142" s="7" t="s">
        <v>20</v>
      </c>
      <c r="C142" s="16">
        <v>2</v>
      </c>
      <c r="D142" s="16">
        <v>3</v>
      </c>
      <c r="E142" s="16">
        <v>2</v>
      </c>
      <c r="F142" s="16">
        <v>722</v>
      </c>
      <c r="G142" s="16" t="s">
        <v>21</v>
      </c>
      <c r="H142" s="21">
        <v>21.2</v>
      </c>
      <c r="I142" s="16">
        <v>14.9</v>
      </c>
      <c r="J142" s="52">
        <v>0.74427674977799996</v>
      </c>
      <c r="K142" s="70">
        <f t="shared" si="34"/>
        <v>268.43880929815509</v>
      </c>
      <c r="L142" s="70">
        <f t="shared" si="35"/>
        <v>134.08255643965143</v>
      </c>
      <c r="M142" s="70">
        <f t="shared" si="39"/>
        <v>163.35152980800001</v>
      </c>
      <c r="N142" s="68">
        <f t="shared" si="40"/>
        <v>190.96905463761658</v>
      </c>
      <c r="O142" s="69">
        <f t="shared" si="36"/>
        <v>253.69401692892234</v>
      </c>
      <c r="P142" s="69">
        <f t="shared" si="37"/>
        <v>278.61484373922906</v>
      </c>
      <c r="Q142" s="69">
        <f t="shared" si="38"/>
        <v>273.44204180539793</v>
      </c>
      <c r="R142" s="69">
        <f t="shared" si="41"/>
        <v>310.85345891272357</v>
      </c>
      <c r="S142" s="68">
        <f t="shared" si="42"/>
        <v>189.21048754585576</v>
      </c>
      <c r="T142" s="68">
        <f t="shared" si="43"/>
        <v>49.969976008701373</v>
      </c>
      <c r="U142" s="69">
        <f t="shared" si="44"/>
        <v>279.15109034656825</v>
      </c>
      <c r="V142" s="69">
        <f t="shared" si="45"/>
        <v>20.530365044033488</v>
      </c>
    </row>
    <row r="143" spans="1:22" x14ac:dyDescent="0.3">
      <c r="A143" s="59" t="s">
        <v>80</v>
      </c>
      <c r="B143" s="7" t="s">
        <v>30</v>
      </c>
      <c r="C143" s="16">
        <v>1</v>
      </c>
      <c r="D143" s="16">
        <v>3</v>
      </c>
      <c r="E143" s="16">
        <v>1</v>
      </c>
      <c r="F143" s="16">
        <v>1725</v>
      </c>
      <c r="G143" s="16" t="s">
        <v>21</v>
      </c>
      <c r="H143" s="21">
        <v>12.7</v>
      </c>
      <c r="I143" s="7">
        <v>12.6</v>
      </c>
      <c r="J143" s="52">
        <v>0.70464479867099994</v>
      </c>
      <c r="K143" s="70">
        <f t="shared" si="34"/>
        <v>73.424160491296121</v>
      </c>
      <c r="L143" s="70">
        <f t="shared" si="35"/>
        <v>35.711011886163419</v>
      </c>
      <c r="M143" s="70">
        <f t="shared" si="39"/>
        <v>49.572771822</v>
      </c>
      <c r="N143" s="68">
        <f t="shared" si="40"/>
        <v>91.834328245872172</v>
      </c>
      <c r="O143" s="69">
        <f t="shared" si="36"/>
        <v>72.889676023527201</v>
      </c>
      <c r="P143" s="69">
        <f t="shared" si="37"/>
        <v>80.049762076918881</v>
      </c>
      <c r="Q143" s="69">
        <f t="shared" si="38"/>
        <v>80.950687983819691</v>
      </c>
      <c r="R143" s="69">
        <f t="shared" si="41"/>
        <v>93.899114663633753</v>
      </c>
      <c r="S143" s="68">
        <f t="shared" si="42"/>
        <v>62.63556811133293</v>
      </c>
      <c r="T143" s="68">
        <f t="shared" si="43"/>
        <v>21.590100125718969</v>
      </c>
      <c r="U143" s="69">
        <f t="shared" si="44"/>
        <v>81.947310186974875</v>
      </c>
      <c r="V143" s="69">
        <f t="shared" si="45"/>
        <v>7.5743037886814495</v>
      </c>
    </row>
    <row r="144" spans="1:22" x14ac:dyDescent="0.3">
      <c r="A144" s="59" t="s">
        <v>80</v>
      </c>
      <c r="B144" s="7" t="s">
        <v>20</v>
      </c>
      <c r="C144" s="16">
        <v>1</v>
      </c>
      <c r="D144" s="16">
        <v>2</v>
      </c>
      <c r="E144" s="16">
        <v>2</v>
      </c>
      <c r="F144" s="16">
        <v>7464</v>
      </c>
      <c r="G144" s="16" t="s">
        <v>21</v>
      </c>
      <c r="H144" s="21">
        <v>36</v>
      </c>
      <c r="I144" s="7">
        <v>19.399999999999999</v>
      </c>
      <c r="J144" s="52">
        <v>0.69239288301599988</v>
      </c>
      <c r="K144" s="70">
        <f t="shared" si="34"/>
        <v>1024.8514090609008</v>
      </c>
      <c r="L144" s="70">
        <f t="shared" si="35"/>
        <v>546.78172360397923</v>
      </c>
      <c r="M144" s="70">
        <f t="shared" si="39"/>
        <v>613.29856319999999</v>
      </c>
      <c r="N144" s="68">
        <f t="shared" si="40"/>
        <v>465.9369876225266</v>
      </c>
      <c r="O144" s="69">
        <f t="shared" si="36"/>
        <v>886.08851803682103</v>
      </c>
      <c r="P144" s="69">
        <f t="shared" si="37"/>
        <v>973.13061214652851</v>
      </c>
      <c r="Q144" s="69">
        <f t="shared" si="38"/>
        <v>926.8216434763774</v>
      </c>
      <c r="R144" s="69">
        <f t="shared" si="41"/>
        <v>961.5155471711131</v>
      </c>
      <c r="S144" s="68">
        <f t="shared" si="42"/>
        <v>662.71717087185164</v>
      </c>
      <c r="T144" s="68">
        <f t="shared" si="43"/>
        <v>215.49180593808373</v>
      </c>
      <c r="U144" s="69">
        <f t="shared" si="44"/>
        <v>936.88908020771009</v>
      </c>
      <c r="V144" s="69">
        <f t="shared" si="45"/>
        <v>33.918880846770747</v>
      </c>
    </row>
    <row r="145" spans="1:22" x14ac:dyDescent="0.3">
      <c r="A145" s="59" t="s">
        <v>80</v>
      </c>
      <c r="B145" s="7" t="s">
        <v>20</v>
      </c>
      <c r="C145" s="16">
        <v>1</v>
      </c>
      <c r="D145" s="16">
        <v>3</v>
      </c>
      <c r="E145" s="16">
        <v>1</v>
      </c>
      <c r="F145" s="16">
        <v>3236</v>
      </c>
      <c r="G145" s="16" t="s">
        <v>21</v>
      </c>
      <c r="H145" s="21">
        <v>22.6</v>
      </c>
      <c r="I145" s="7">
        <v>22.5</v>
      </c>
      <c r="J145" s="52">
        <v>0.69081379869600001</v>
      </c>
      <c r="K145" s="70">
        <f t="shared" si="34"/>
        <v>315.58033049966701</v>
      </c>
      <c r="L145" s="70">
        <f t="shared" si="35"/>
        <v>186.66106814011201</v>
      </c>
      <c r="M145" s="70">
        <f t="shared" si="39"/>
        <v>280.32679530000001</v>
      </c>
      <c r="N145" s="68">
        <f t="shared" si="40"/>
        <v>375.28051998515804</v>
      </c>
      <c r="O145" s="69">
        <f t="shared" si="36"/>
        <v>404.09007393011007</v>
      </c>
      <c r="P145" s="69">
        <f t="shared" si="37"/>
        <v>443.78458021008146</v>
      </c>
      <c r="Q145" s="69">
        <f t="shared" si="38"/>
        <v>430.70629062858717</v>
      </c>
      <c r="R145" s="69">
        <f t="shared" si="41"/>
        <v>377.70120030949914</v>
      </c>
      <c r="S145" s="68">
        <f t="shared" si="42"/>
        <v>289.46217848123428</v>
      </c>
      <c r="T145" s="68">
        <f t="shared" si="43"/>
        <v>68.371172866526223</v>
      </c>
      <c r="U145" s="69">
        <f t="shared" si="44"/>
        <v>414.07053626956946</v>
      </c>
      <c r="V145" s="69">
        <f t="shared" si="45"/>
        <v>25.406745940193154</v>
      </c>
    </row>
    <row r="146" spans="1:22" x14ac:dyDescent="0.3">
      <c r="A146" s="59" t="s">
        <v>80</v>
      </c>
      <c r="B146" s="7" t="s">
        <v>30</v>
      </c>
      <c r="C146" s="16">
        <v>2</v>
      </c>
      <c r="D146" s="16">
        <v>1</v>
      </c>
      <c r="E146" s="16">
        <v>1</v>
      </c>
      <c r="F146" s="16">
        <v>77</v>
      </c>
      <c r="G146" s="16" t="s">
        <v>21</v>
      </c>
      <c r="H146" s="21">
        <v>33.200000000000003</v>
      </c>
      <c r="I146" s="7">
        <v>22.3</v>
      </c>
      <c r="J146" s="52">
        <v>0.77910847955999996</v>
      </c>
      <c r="K146" s="70">
        <f t="shared" si="34"/>
        <v>835.01625028761657</v>
      </c>
      <c r="L146" s="70">
        <f t="shared" si="35"/>
        <v>475.90914306298941</v>
      </c>
      <c r="M146" s="70">
        <f t="shared" si="39"/>
        <v>599.57876913600012</v>
      </c>
      <c r="N146" s="68">
        <f t="shared" si="40"/>
        <v>531.63012879925759</v>
      </c>
      <c r="O146" s="69">
        <f t="shared" si="36"/>
        <v>974.75785564622913</v>
      </c>
      <c r="P146" s="69">
        <f t="shared" si="37"/>
        <v>1070.5101007981182</v>
      </c>
      <c r="Q146" s="69">
        <f t="shared" si="38"/>
        <v>1017.2360216209323</v>
      </c>
      <c r="R146" s="69">
        <f t="shared" si="41"/>
        <v>964.98748938758945</v>
      </c>
      <c r="S146" s="68">
        <f t="shared" si="42"/>
        <v>610.5335728214659</v>
      </c>
      <c r="T146" s="68">
        <f t="shared" si="43"/>
        <v>136.80457848014439</v>
      </c>
      <c r="U146" s="69">
        <f t="shared" si="44"/>
        <v>1006.8728668632173</v>
      </c>
      <c r="V146" s="69">
        <f t="shared" si="45"/>
        <v>41.661886992672208</v>
      </c>
    </row>
    <row r="147" spans="1:22" x14ac:dyDescent="0.3">
      <c r="A147" s="59" t="s">
        <v>80</v>
      </c>
      <c r="B147" s="7" t="s">
        <v>30</v>
      </c>
      <c r="C147" s="16">
        <v>2</v>
      </c>
      <c r="D147" s="16">
        <v>2</v>
      </c>
      <c r="E147" s="16">
        <v>1</v>
      </c>
      <c r="F147" s="16">
        <v>441</v>
      </c>
      <c r="G147" s="16" t="s">
        <v>21</v>
      </c>
      <c r="H147" s="21">
        <v>28.3</v>
      </c>
      <c r="I147" s="16">
        <v>21</v>
      </c>
      <c r="J147" s="52">
        <v>0.601380193482</v>
      </c>
      <c r="K147" s="70">
        <f t="shared" si="34"/>
        <v>557.48765844031743</v>
      </c>
      <c r="L147" s="70">
        <f t="shared" si="35"/>
        <v>314.06777938026067</v>
      </c>
      <c r="M147" s="70">
        <f t="shared" si="39"/>
        <v>410.25830516999997</v>
      </c>
      <c r="N147" s="68">
        <f t="shared" si="40"/>
        <v>418.26606836735533</v>
      </c>
      <c r="O147" s="69">
        <f t="shared" si="36"/>
        <v>514.8243366573713</v>
      </c>
      <c r="P147" s="69">
        <f t="shared" si="37"/>
        <v>565.39647188894014</v>
      </c>
      <c r="Q147" s="69">
        <f t="shared" si="38"/>
        <v>545.55401913898083</v>
      </c>
      <c r="R147" s="69">
        <f t="shared" si="41"/>
        <v>510.75572469207685</v>
      </c>
      <c r="S147" s="68">
        <f t="shared" si="42"/>
        <v>425.01995283948338</v>
      </c>
      <c r="T147" s="68">
        <f t="shared" si="43"/>
        <v>86.777875953285715</v>
      </c>
      <c r="U147" s="69">
        <f t="shared" si="44"/>
        <v>534.13263809434227</v>
      </c>
      <c r="V147" s="69">
        <f t="shared" si="45"/>
        <v>22.51202919052956</v>
      </c>
    </row>
    <row r="148" spans="1:22" x14ac:dyDescent="0.3">
      <c r="A148" s="59" t="s">
        <v>80</v>
      </c>
      <c r="B148" s="7" t="s">
        <v>44</v>
      </c>
      <c r="C148" s="16">
        <v>2</v>
      </c>
      <c r="D148" s="16">
        <v>3</v>
      </c>
      <c r="E148" s="16">
        <v>1</v>
      </c>
      <c r="F148" s="16">
        <v>701</v>
      </c>
      <c r="G148" s="16" t="s">
        <v>21</v>
      </c>
      <c r="H148" s="21">
        <v>17.600000000000001</v>
      </c>
      <c r="I148" s="16">
        <v>20.6</v>
      </c>
      <c r="J148" s="52">
        <v>0.62259741449999995</v>
      </c>
      <c r="K148" s="70">
        <f t="shared" si="34"/>
        <v>167.63419960794138</v>
      </c>
      <c r="L148" s="70">
        <f t="shared" si="35"/>
        <v>97.607947487617565</v>
      </c>
      <c r="M148" s="70">
        <f t="shared" si="39"/>
        <v>155.65309900800005</v>
      </c>
      <c r="N148" s="68">
        <f t="shared" si="40"/>
        <v>260.03959538099605</v>
      </c>
      <c r="O148" s="69">
        <f t="shared" si="36"/>
        <v>202.2169944396274</v>
      </c>
      <c r="P148" s="69">
        <f t="shared" si="37"/>
        <v>222.0811392765259</v>
      </c>
      <c r="Q148" s="69">
        <f t="shared" si="38"/>
        <v>219.14750784255742</v>
      </c>
      <c r="R148" s="69">
        <f t="shared" si="41"/>
        <v>193.35417813045208</v>
      </c>
      <c r="S148" s="68">
        <f t="shared" si="42"/>
        <v>170.23371037113876</v>
      </c>
      <c r="T148" s="68">
        <f t="shared" si="43"/>
        <v>58.221452448277205</v>
      </c>
      <c r="U148" s="69">
        <f t="shared" si="44"/>
        <v>209.19995492229069</v>
      </c>
      <c r="V148" s="69">
        <f t="shared" si="45"/>
        <v>11.882014756644907</v>
      </c>
    </row>
    <row r="149" spans="1:22" x14ac:dyDescent="0.3">
      <c r="A149" s="59" t="s">
        <v>81</v>
      </c>
      <c r="B149" s="17" t="s">
        <v>30</v>
      </c>
      <c r="C149" s="16">
        <v>1</v>
      </c>
      <c r="D149" s="16">
        <v>3</v>
      </c>
      <c r="E149" s="16">
        <v>1</v>
      </c>
      <c r="F149" s="16">
        <v>1727</v>
      </c>
      <c r="G149" s="16" t="s">
        <v>21</v>
      </c>
      <c r="H149" s="16">
        <v>35.700000000000003</v>
      </c>
      <c r="I149" s="16">
        <v>18.5</v>
      </c>
      <c r="J149" s="52">
        <v>0.655456186</v>
      </c>
      <c r="K149" s="70">
        <f t="shared" si="34"/>
        <v>1003.3816686288121</v>
      </c>
      <c r="L149" s="70">
        <f t="shared" si="35"/>
        <v>525.04343016240477</v>
      </c>
      <c r="M149" s="70">
        <f t="shared" si="39"/>
        <v>575.13973954500023</v>
      </c>
      <c r="N149" s="68">
        <f t="shared" si="40"/>
        <v>430.63075389855419</v>
      </c>
      <c r="O149" s="69">
        <f t="shared" si="36"/>
        <v>786.62837761034871</v>
      </c>
      <c r="P149" s="69">
        <f t="shared" si="37"/>
        <v>863.9003204011492</v>
      </c>
      <c r="Q149" s="69">
        <f t="shared" si="38"/>
        <v>825.14381284789249</v>
      </c>
      <c r="R149" s="69">
        <f t="shared" si="41"/>
        <v>876.25710753253338</v>
      </c>
      <c r="S149" s="68">
        <f t="shared" si="42"/>
        <v>633.54889805869288</v>
      </c>
      <c r="T149" s="68">
        <f t="shared" si="43"/>
        <v>219.73684134586713</v>
      </c>
      <c r="U149" s="69">
        <f t="shared" si="44"/>
        <v>837.98240459798103</v>
      </c>
      <c r="V149" s="69">
        <f t="shared" si="45"/>
        <v>35.13814440988687</v>
      </c>
    </row>
    <row r="150" spans="1:22" x14ac:dyDescent="0.3">
      <c r="A150" s="59" t="s">
        <v>81</v>
      </c>
      <c r="B150" s="17" t="s">
        <v>26</v>
      </c>
      <c r="C150" s="16">
        <v>1</v>
      </c>
      <c r="D150" s="16">
        <v>1</v>
      </c>
      <c r="E150" s="16">
        <v>2</v>
      </c>
      <c r="F150" s="16">
        <v>1643</v>
      </c>
      <c r="G150" s="16" t="s">
        <v>21</v>
      </c>
      <c r="H150" s="16">
        <v>11.8</v>
      </c>
      <c r="I150" s="16">
        <v>13</v>
      </c>
      <c r="J150" s="52">
        <v>0.74557338574999998</v>
      </c>
      <c r="K150" s="70">
        <f t="shared" si="34"/>
        <v>60.964505308279705</v>
      </c>
      <c r="L150" s="70">
        <f t="shared" si="35"/>
        <v>30.23817067185875</v>
      </c>
      <c r="M150" s="70">
        <f t="shared" si="39"/>
        <v>44.154257160000007</v>
      </c>
      <c r="N150" s="68">
        <f t="shared" si="40"/>
        <v>89.796410063256843</v>
      </c>
      <c r="O150" s="69">
        <f t="shared" si="36"/>
        <v>68.693484418001916</v>
      </c>
      <c r="P150" s="69">
        <f t="shared" si="37"/>
        <v>75.441370903070862</v>
      </c>
      <c r="Q150" s="69">
        <f t="shared" si="38"/>
        <v>76.399071711818493</v>
      </c>
      <c r="R150" s="69">
        <f t="shared" si="41"/>
        <v>86.36338055908017</v>
      </c>
      <c r="S150" s="68">
        <f t="shared" si="42"/>
        <v>56.288335800848827</v>
      </c>
      <c r="T150" s="68">
        <f t="shared" si="43"/>
        <v>22.195182865586119</v>
      </c>
      <c r="U150" s="69">
        <f t="shared" si="44"/>
        <v>76.724326897992867</v>
      </c>
      <c r="V150" s="69">
        <f t="shared" si="45"/>
        <v>6.3078830331734004</v>
      </c>
    </row>
    <row r="151" spans="1:22" x14ac:dyDescent="0.3">
      <c r="A151" s="59" t="s">
        <v>81</v>
      </c>
      <c r="B151" s="7" t="s">
        <v>59</v>
      </c>
      <c r="C151" s="16">
        <v>2</v>
      </c>
      <c r="D151" s="16">
        <v>1</v>
      </c>
      <c r="E151" s="16"/>
      <c r="F151" s="16">
        <v>248</v>
      </c>
      <c r="G151" s="16" t="s">
        <v>21</v>
      </c>
      <c r="H151" s="21">
        <v>11.8</v>
      </c>
      <c r="I151" s="16">
        <v>10.199999999999999</v>
      </c>
      <c r="J151" s="52">
        <v>0.55602062475000003</v>
      </c>
      <c r="K151" s="70">
        <f t="shared" si="34"/>
        <v>60.964505308279705</v>
      </c>
      <c r="L151" s="70">
        <f t="shared" si="35"/>
        <v>27.285500972446329</v>
      </c>
      <c r="M151" s="70">
        <f t="shared" si="39"/>
        <v>34.644109464000003</v>
      </c>
      <c r="N151" s="68">
        <f t="shared" si="40"/>
        <v>62.511281147770461</v>
      </c>
      <c r="O151" s="69">
        <f t="shared" si="36"/>
        <v>40.195077475230846</v>
      </c>
      <c r="P151" s="69">
        <f t="shared" si="37"/>
        <v>44.143513376530535</v>
      </c>
      <c r="Q151" s="69">
        <f t="shared" si="38"/>
        <v>45.28258696725802</v>
      </c>
      <c r="R151" s="69">
        <f t="shared" si="41"/>
        <v>57.983402406397218</v>
      </c>
      <c r="S151" s="68">
        <f t="shared" si="42"/>
        <v>46.351349223124124</v>
      </c>
      <c r="T151" s="68">
        <f t="shared" si="43"/>
        <v>15.614526592838267</v>
      </c>
      <c r="U151" s="69">
        <f t="shared" si="44"/>
        <v>46.901145056354153</v>
      </c>
      <c r="V151" s="69">
        <f t="shared" si="45"/>
        <v>6.6710575088310256</v>
      </c>
    </row>
    <row r="152" spans="1:22" x14ac:dyDescent="0.3">
      <c r="A152" s="59" t="s">
        <v>81</v>
      </c>
      <c r="B152" s="7" t="s">
        <v>26</v>
      </c>
      <c r="C152" s="16">
        <v>2</v>
      </c>
      <c r="D152" s="16">
        <v>2</v>
      </c>
      <c r="E152" s="16">
        <v>2</v>
      </c>
      <c r="F152" s="16">
        <v>505</v>
      </c>
      <c r="G152" s="16" t="s">
        <v>21</v>
      </c>
      <c r="H152" s="21">
        <v>13.5</v>
      </c>
      <c r="I152" s="16">
        <v>10</v>
      </c>
      <c r="J152" s="52">
        <v>0.62179669599999998</v>
      </c>
      <c r="K152" s="70">
        <f t="shared" si="34"/>
        <v>85.695893231898594</v>
      </c>
      <c r="L152" s="70">
        <f t="shared" si="35"/>
        <v>37.59303105439146</v>
      </c>
      <c r="M152" s="70">
        <f t="shared" si="39"/>
        <v>44.456242500000002</v>
      </c>
      <c r="N152" s="68">
        <f t="shared" si="40"/>
        <v>68.876911429390475</v>
      </c>
      <c r="O152" s="69">
        <f t="shared" si="36"/>
        <v>57.681125953614</v>
      </c>
      <c r="P152" s="69">
        <f t="shared" si="37"/>
        <v>63.347248345913997</v>
      </c>
      <c r="Q152" s="69">
        <f t="shared" si="38"/>
        <v>64.42099502723562</v>
      </c>
      <c r="R152" s="69">
        <f t="shared" si="41"/>
        <v>86.299700843789253</v>
      </c>
      <c r="S152" s="68">
        <f t="shared" si="42"/>
        <v>59.155519553920129</v>
      </c>
      <c r="T152" s="68">
        <f t="shared" si="43"/>
        <v>19.23477678037494</v>
      </c>
      <c r="U152" s="69">
        <f t="shared" si="44"/>
        <v>67.93726754263821</v>
      </c>
      <c r="V152" s="69">
        <f t="shared" si="45"/>
        <v>10.906418358725839</v>
      </c>
    </row>
    <row r="153" spans="1:22" x14ac:dyDescent="0.3">
      <c r="A153" s="59" t="s">
        <v>81</v>
      </c>
      <c r="B153" s="7" t="s">
        <v>30</v>
      </c>
      <c r="C153" s="16">
        <v>2</v>
      </c>
      <c r="D153" s="16">
        <v>3</v>
      </c>
      <c r="E153" s="16">
        <v>2</v>
      </c>
      <c r="F153" s="16">
        <v>599</v>
      </c>
      <c r="G153" s="16" t="s">
        <v>21</v>
      </c>
      <c r="H153" s="30">
        <f>SQRT(17.8^2+14^2)</f>
        <v>22.645970944077447</v>
      </c>
      <c r="I153" s="16">
        <v>13.7</v>
      </c>
      <c r="J153" s="52">
        <v>0.63040140150000001</v>
      </c>
      <c r="K153" s="70">
        <f t="shared" si="34"/>
        <v>317.20693119078538</v>
      </c>
      <c r="L153" s="70">
        <f t="shared" si="35"/>
        <v>152.03371618228942</v>
      </c>
      <c r="M153" s="70">
        <f t="shared" si="39"/>
        <v>171.38297384400002</v>
      </c>
      <c r="N153" s="68">
        <f t="shared" si="40"/>
        <v>179.24770762276265</v>
      </c>
      <c r="O153" s="69">
        <f t="shared" si="36"/>
        <v>225.44334052551221</v>
      </c>
      <c r="P153" s="69">
        <f t="shared" si="37"/>
        <v>247.58905177556244</v>
      </c>
      <c r="Q153" s="69">
        <f t="shared" si="38"/>
        <v>243.68175949303929</v>
      </c>
      <c r="R153" s="69">
        <f t="shared" si="41"/>
        <v>290.36835324500231</v>
      </c>
      <c r="S153" s="68">
        <f t="shared" si="42"/>
        <v>204.96783220995937</v>
      </c>
      <c r="T153" s="68">
        <f t="shared" si="43"/>
        <v>65.553610693654633</v>
      </c>
      <c r="U153" s="69">
        <f t="shared" si="44"/>
        <v>251.77062625977908</v>
      </c>
      <c r="V153" s="69">
        <f t="shared" si="45"/>
        <v>23.800345760601253</v>
      </c>
    </row>
    <row r="154" spans="1:22" x14ac:dyDescent="0.3">
      <c r="A154" s="59" t="s">
        <v>82</v>
      </c>
      <c r="B154" s="7" t="s">
        <v>20</v>
      </c>
      <c r="C154" s="16">
        <v>1</v>
      </c>
      <c r="D154" s="16">
        <v>1</v>
      </c>
      <c r="E154" s="16">
        <v>2</v>
      </c>
      <c r="F154" s="16">
        <v>2012</v>
      </c>
      <c r="G154" s="16" t="s">
        <v>21</v>
      </c>
      <c r="H154" s="21">
        <v>10.4</v>
      </c>
      <c r="I154" s="16">
        <v>8.9</v>
      </c>
      <c r="J154" s="52">
        <v>0.323709941</v>
      </c>
      <c r="K154" s="70">
        <f t="shared" si="34"/>
        <v>44.290432787059352</v>
      </c>
      <c r="L154" s="70">
        <f t="shared" si="35"/>
        <v>18.916272670815371</v>
      </c>
      <c r="M154" s="70">
        <f t="shared" si="39"/>
        <v>23.481287232000003</v>
      </c>
      <c r="N154" s="68">
        <f t="shared" si="40"/>
        <v>45.287155765706899</v>
      </c>
      <c r="O154" s="69">
        <f t="shared" si="36"/>
        <v>15.860997774679866</v>
      </c>
      <c r="P154" s="69">
        <f t="shared" si="37"/>
        <v>17.41905256590579</v>
      </c>
      <c r="Q154" s="69">
        <f t="shared" si="38"/>
        <v>18.271789392578764</v>
      </c>
      <c r="R154" s="69">
        <f t="shared" si="41"/>
        <v>23.681908605441372</v>
      </c>
      <c r="S154" s="68">
        <f t="shared" si="42"/>
        <v>32.993787113895408</v>
      </c>
      <c r="T154" s="68">
        <f t="shared" si="43"/>
        <v>11.910134163523736</v>
      </c>
      <c r="U154" s="69">
        <f t="shared" si="44"/>
        <v>18.808437084651452</v>
      </c>
      <c r="V154" s="69">
        <f t="shared" si="45"/>
        <v>2.9434887139350709</v>
      </c>
    </row>
    <row r="155" spans="1:22" x14ac:dyDescent="0.3">
      <c r="A155" s="59" t="s">
        <v>82</v>
      </c>
      <c r="B155" s="7" t="s">
        <v>24</v>
      </c>
      <c r="C155" s="16">
        <v>1</v>
      </c>
      <c r="D155" s="16">
        <v>3</v>
      </c>
      <c r="E155" s="16">
        <v>2</v>
      </c>
      <c r="F155" s="16">
        <v>1269</v>
      </c>
      <c r="G155" s="16" t="s">
        <v>21</v>
      </c>
      <c r="H155" s="21">
        <v>18.8</v>
      </c>
      <c r="I155" s="16">
        <v>10.3</v>
      </c>
      <c r="J155" s="52">
        <v>0.325017326</v>
      </c>
      <c r="K155" s="70">
        <f t="shared" si="34"/>
        <v>198.07740342365784</v>
      </c>
      <c r="L155" s="70">
        <f t="shared" si="35"/>
        <v>85.498530071832846</v>
      </c>
      <c r="M155" s="70">
        <f t="shared" si="39"/>
        <v>88.801057776000022</v>
      </c>
      <c r="N155" s="68">
        <f t="shared" si="40"/>
        <v>98.280647578817252</v>
      </c>
      <c r="O155" s="69">
        <f t="shared" si="36"/>
        <v>60.22505683295396</v>
      </c>
      <c r="P155" s="69">
        <f t="shared" si="37"/>
        <v>66.141074203578114</v>
      </c>
      <c r="Q155" s="69">
        <f t="shared" si="38"/>
        <v>67.192542383135475</v>
      </c>
      <c r="R155" s="69">
        <f t="shared" si="41"/>
        <v>87.177966375602537</v>
      </c>
      <c r="S155" s="68">
        <f t="shared" si="42"/>
        <v>117.664409712577</v>
      </c>
      <c r="T155" s="68">
        <f t="shared" si="43"/>
        <v>46.662931460941358</v>
      </c>
      <c r="U155" s="69">
        <f t="shared" si="44"/>
        <v>70.184159948817523</v>
      </c>
      <c r="V155" s="69">
        <f t="shared" si="45"/>
        <v>10.164515602650434</v>
      </c>
    </row>
    <row r="156" spans="1:22" x14ac:dyDescent="0.3">
      <c r="A156" s="59" t="s">
        <v>82</v>
      </c>
      <c r="B156" s="7" t="s">
        <v>24</v>
      </c>
      <c r="C156" s="16">
        <v>1</v>
      </c>
      <c r="D156" s="16">
        <v>1</v>
      </c>
      <c r="E156" s="16">
        <v>2</v>
      </c>
      <c r="F156" s="16">
        <v>1695</v>
      </c>
      <c r="G156" s="16" t="s">
        <v>21</v>
      </c>
      <c r="H156" s="21">
        <v>25.8</v>
      </c>
      <c r="I156" s="16">
        <v>16</v>
      </c>
      <c r="J156" s="52">
        <v>0.347065495</v>
      </c>
      <c r="K156" s="70">
        <f t="shared" si="34"/>
        <v>441.17757754928721</v>
      </c>
      <c r="L156" s="70">
        <f t="shared" si="35"/>
        <v>223.28248625374431</v>
      </c>
      <c r="M156" s="70">
        <f t="shared" si="39"/>
        <v>259.79130431999999</v>
      </c>
      <c r="N156" s="68">
        <f t="shared" si="40"/>
        <v>255.46945884967622</v>
      </c>
      <c r="O156" s="69">
        <f t="shared" si="36"/>
        <v>188.14323860916193</v>
      </c>
      <c r="P156" s="69">
        <f t="shared" si="37"/>
        <v>206.62489269650592</v>
      </c>
      <c r="Q156" s="69">
        <f t="shared" si="38"/>
        <v>204.24874532059059</v>
      </c>
      <c r="R156" s="69">
        <f t="shared" si="41"/>
        <v>211.92744102168967</v>
      </c>
      <c r="S156" s="68">
        <f t="shared" si="42"/>
        <v>294.93020674317694</v>
      </c>
      <c r="T156" s="68">
        <f t="shared" si="43"/>
        <v>85.606048861706839</v>
      </c>
      <c r="U156" s="69">
        <f t="shared" si="44"/>
        <v>202.73607941198702</v>
      </c>
      <c r="V156" s="69">
        <f t="shared" si="45"/>
        <v>8.8719101360673012</v>
      </c>
    </row>
    <row r="157" spans="1:22" x14ac:dyDescent="0.3">
      <c r="A157" s="59" t="s">
        <v>82</v>
      </c>
      <c r="B157" s="7" t="s">
        <v>26</v>
      </c>
      <c r="C157" s="16">
        <v>2</v>
      </c>
      <c r="D157" s="16">
        <v>2</v>
      </c>
      <c r="E157" s="16">
        <v>1</v>
      </c>
      <c r="F157" s="16">
        <v>492</v>
      </c>
      <c r="G157" s="16" t="s">
        <v>21</v>
      </c>
      <c r="H157" s="21">
        <v>14.5</v>
      </c>
      <c r="I157" s="16">
        <v>8.3000000000000007</v>
      </c>
      <c r="J157" s="52">
        <v>0.28791350799999998</v>
      </c>
      <c r="K157" s="70">
        <f t="shared" si="34"/>
        <v>102.67781571633475</v>
      </c>
      <c r="L157" s="70">
        <f t="shared" si="35"/>
        <v>41.36722064431266</v>
      </c>
      <c r="M157" s="70">
        <f t="shared" si="39"/>
        <v>42.567614475000006</v>
      </c>
      <c r="N157" s="68">
        <f t="shared" si="40"/>
        <v>55.772264468045975</v>
      </c>
      <c r="O157" s="69">
        <f t="shared" si="36"/>
        <v>25.57372084713079</v>
      </c>
      <c r="P157" s="69">
        <f t="shared" si="37"/>
        <v>28.085874171996291</v>
      </c>
      <c r="Q157" s="69">
        <f t="shared" si="38"/>
        <v>29.124962499737148</v>
      </c>
      <c r="R157" s="69">
        <f t="shared" si="41"/>
        <v>41.100201918369862</v>
      </c>
      <c r="S157" s="68">
        <f t="shared" si="42"/>
        <v>60.596228825923347</v>
      </c>
      <c r="T157" s="68">
        <f t="shared" si="43"/>
        <v>24.944519831037457</v>
      </c>
      <c r="U157" s="69">
        <f t="shared" si="44"/>
        <v>30.971189859308524</v>
      </c>
      <c r="V157" s="69">
        <f t="shared" si="45"/>
        <v>5.9888053714557428</v>
      </c>
    </row>
    <row r="158" spans="1:22" x14ac:dyDescent="0.3">
      <c r="A158" s="59" t="s">
        <v>82</v>
      </c>
      <c r="B158" s="7" t="s">
        <v>20</v>
      </c>
      <c r="C158" s="16">
        <v>2</v>
      </c>
      <c r="D158" s="16">
        <v>2</v>
      </c>
      <c r="E158" s="16">
        <v>2</v>
      </c>
      <c r="F158" s="16">
        <v>332</v>
      </c>
      <c r="G158" s="16" t="s">
        <v>21</v>
      </c>
      <c r="H158" s="21">
        <v>25.2</v>
      </c>
      <c r="I158" s="16">
        <v>10.4</v>
      </c>
      <c r="J158" s="52">
        <v>0.31213714199999998</v>
      </c>
      <c r="K158" s="70">
        <f t="shared" si="34"/>
        <v>415.67982235783069</v>
      </c>
      <c r="L158" s="70">
        <f t="shared" si="35"/>
        <v>175.64481115433207</v>
      </c>
      <c r="M158" s="70">
        <f t="shared" si="39"/>
        <v>161.10151948800001</v>
      </c>
      <c r="N158" s="68">
        <f t="shared" si="40"/>
        <v>131.33159075323778</v>
      </c>
      <c r="O158" s="69">
        <f t="shared" si="36"/>
        <v>104.92951192229076</v>
      </c>
      <c r="P158" s="69">
        <f t="shared" si="37"/>
        <v>115.2369295963861</v>
      </c>
      <c r="Q158" s="69">
        <f t="shared" si="38"/>
        <v>115.5193183976905</v>
      </c>
      <c r="R158" s="69">
        <f t="shared" si="41"/>
        <v>155.38254365784886</v>
      </c>
      <c r="S158" s="68">
        <f t="shared" si="42"/>
        <v>220.93943593835013</v>
      </c>
      <c r="T158" s="68">
        <f t="shared" si="43"/>
        <v>113.56227729859479</v>
      </c>
      <c r="U158" s="69">
        <f t="shared" si="44"/>
        <v>122.76707589355405</v>
      </c>
      <c r="V158" s="69">
        <f t="shared" si="45"/>
        <v>19.307903290416281</v>
      </c>
    </row>
    <row r="159" spans="1:22" x14ac:dyDescent="0.3">
      <c r="A159" s="59" t="s">
        <v>82</v>
      </c>
      <c r="B159" s="7" t="s">
        <v>20</v>
      </c>
      <c r="C159" s="16">
        <v>2</v>
      </c>
      <c r="D159" s="16">
        <v>3</v>
      </c>
      <c r="E159" s="16">
        <v>1</v>
      </c>
      <c r="F159" s="16">
        <v>715</v>
      </c>
      <c r="G159" s="16" t="s">
        <v>21</v>
      </c>
      <c r="H159" s="21">
        <v>26.2</v>
      </c>
      <c r="I159" s="16">
        <v>9.4</v>
      </c>
      <c r="J159" s="52">
        <v>0.36517019699999997</v>
      </c>
      <c r="K159" s="70">
        <f t="shared" si="34"/>
        <v>458.6884902777303</v>
      </c>
      <c r="L159" s="70">
        <f t="shared" si="35"/>
        <v>185.06803901781493</v>
      </c>
      <c r="M159" s="70">
        <f t="shared" si="39"/>
        <v>157.39671064800001</v>
      </c>
      <c r="N159" s="68">
        <f t="shared" si="40"/>
        <v>117.13831691379083</v>
      </c>
      <c r="O159" s="69">
        <f t="shared" si="36"/>
        <v>119.93433857152223</v>
      </c>
      <c r="P159" s="69">
        <f t="shared" si="37"/>
        <v>131.7157077828702</v>
      </c>
      <c r="Q159" s="69">
        <f t="shared" si="38"/>
        <v>131.61561213133069</v>
      </c>
      <c r="R159" s="69">
        <f t="shared" si="41"/>
        <v>192.98891385530942</v>
      </c>
      <c r="S159" s="68">
        <f t="shared" si="42"/>
        <v>229.57288921433403</v>
      </c>
      <c r="T159" s="68">
        <f t="shared" si="43"/>
        <v>134.46707231000957</v>
      </c>
      <c r="U159" s="69">
        <f t="shared" si="44"/>
        <v>144.06364308525815</v>
      </c>
      <c r="V159" s="69">
        <f t="shared" si="45"/>
        <v>28.650176426600357</v>
      </c>
    </row>
    <row r="160" spans="1:22" x14ac:dyDescent="0.3">
      <c r="A160" s="59" t="s">
        <v>83</v>
      </c>
      <c r="B160" s="7" t="s">
        <v>30</v>
      </c>
      <c r="C160" s="16">
        <v>2</v>
      </c>
      <c r="D160" s="16">
        <v>1</v>
      </c>
      <c r="E160" s="16"/>
      <c r="F160" s="16">
        <v>496</v>
      </c>
      <c r="G160" s="16" t="s">
        <v>84</v>
      </c>
      <c r="H160" s="21">
        <v>19.899999999999999</v>
      </c>
      <c r="I160" s="16">
        <v>8.1</v>
      </c>
      <c r="J160" s="52">
        <v>0.70277513399999991</v>
      </c>
      <c r="K160" s="70">
        <f t="shared" si="34"/>
        <v>228.72511727018087</v>
      </c>
      <c r="L160" s="70">
        <f t="shared" si="35"/>
        <v>88.73482079086854</v>
      </c>
      <c r="M160" s="70">
        <f t="shared" si="39"/>
        <v>78.244962632999986</v>
      </c>
      <c r="N160" s="68">
        <f t="shared" si="40"/>
        <v>72.421246939961222</v>
      </c>
      <c r="O160" s="69">
        <f t="shared" si="36"/>
        <v>114.74277283035649</v>
      </c>
      <c r="P160" s="69">
        <f t="shared" si="37"/>
        <v>126.01416505337775</v>
      </c>
      <c r="Q160" s="69">
        <f t="shared" si="38"/>
        <v>126.0522032793059</v>
      </c>
      <c r="R160" s="69">
        <f t="shared" si="41"/>
        <v>207.84129857099856</v>
      </c>
      <c r="S160" s="68">
        <f t="shared" si="42"/>
        <v>117.03153690850266</v>
      </c>
      <c r="T160" s="68">
        <f t="shared" si="43"/>
        <v>64.750745849293281</v>
      </c>
      <c r="U160" s="69">
        <f t="shared" si="44"/>
        <v>143.66260993350966</v>
      </c>
      <c r="V160" s="69">
        <f t="shared" si="45"/>
        <v>37.339172066725624</v>
      </c>
    </row>
    <row r="161" spans="1:22" x14ac:dyDescent="0.3">
      <c r="A161" s="59" t="s">
        <v>83</v>
      </c>
      <c r="B161" s="7" t="s">
        <v>30</v>
      </c>
      <c r="C161" s="16">
        <v>1</v>
      </c>
      <c r="D161" s="16">
        <v>2</v>
      </c>
      <c r="E161" s="16">
        <v>1</v>
      </c>
      <c r="F161" s="16">
        <v>4964</v>
      </c>
      <c r="G161" s="16" t="s">
        <v>84</v>
      </c>
      <c r="H161" s="30">
        <f>SQRT(19.9^2+5.5^2)</f>
        <v>20.646065000382034</v>
      </c>
      <c r="I161" s="16">
        <v>9.6</v>
      </c>
      <c r="J161" s="52">
        <v>0.67274608633333344</v>
      </c>
      <c r="K161" s="70">
        <f t="shared" si="34"/>
        <v>251.04635497292819</v>
      </c>
      <c r="L161" s="70">
        <f t="shared" si="35"/>
        <v>104.3290347583855</v>
      </c>
      <c r="M161" s="70">
        <f t="shared" si="39"/>
        <v>99.818497727999997</v>
      </c>
      <c r="N161" s="68">
        <f t="shared" si="40"/>
        <v>96.621475694096503</v>
      </c>
      <c r="O161" s="69">
        <f t="shared" si="36"/>
        <v>140.12472585702466</v>
      </c>
      <c r="P161" s="69">
        <f t="shared" si="37"/>
        <v>153.88943370152612</v>
      </c>
      <c r="Q161" s="69">
        <f t="shared" si="38"/>
        <v>153.19935258295473</v>
      </c>
      <c r="R161" s="69">
        <f t="shared" si="41"/>
        <v>227.04938177052773</v>
      </c>
      <c r="S161" s="68">
        <f t="shared" si="42"/>
        <v>137.95384078835255</v>
      </c>
      <c r="T161" s="68">
        <f t="shared" si="43"/>
        <v>65.351383190711786</v>
      </c>
      <c r="U161" s="69">
        <f t="shared" si="44"/>
        <v>168.56572347800829</v>
      </c>
      <c r="V161" s="69">
        <f t="shared" si="45"/>
        <v>34.207994201065809</v>
      </c>
    </row>
    <row r="162" spans="1:22" x14ac:dyDescent="0.3">
      <c r="A162" s="59" t="s">
        <v>83</v>
      </c>
      <c r="B162" s="7" t="s">
        <v>30</v>
      </c>
      <c r="C162" s="16">
        <v>1</v>
      </c>
      <c r="D162" s="16">
        <v>2</v>
      </c>
      <c r="E162" s="16">
        <v>2</v>
      </c>
      <c r="F162" s="16">
        <v>4974</v>
      </c>
      <c r="G162" s="16" t="s">
        <v>84</v>
      </c>
      <c r="H162" s="30">
        <f>SQRT(29.5^2+16.4^2)</f>
        <v>33.752185114448515</v>
      </c>
      <c r="I162" s="16">
        <v>12.3</v>
      </c>
      <c r="J162" s="52">
        <v>0.68866875125000004</v>
      </c>
      <c r="K162" s="70">
        <f t="shared" ref="K162:K179" si="46" xml:space="preserve"> EXP(-2.134 + 2.53*LN(H162))</f>
        <v>870.60141389801379</v>
      </c>
      <c r="L162" s="70">
        <f t="shared" ref="L162:L179" si="47">(0.02453 *(H162^2.443356)*(I162^0.423602))</f>
        <v>385.09611420242976</v>
      </c>
      <c r="M162" s="70">
        <f t="shared" si="39"/>
        <v>341.80161921900003</v>
      </c>
      <c r="N162" s="68">
        <f t="shared" si="40"/>
        <v>222.07381546551636</v>
      </c>
      <c r="O162" s="69">
        <f t="shared" ref="O162:O179" si="48" xml:space="preserve"> 0.0509*J162*H162^2*I162</f>
        <v>491.17591108077477</v>
      </c>
      <c r="P162" s="69">
        <f t="shared" ref="P162:P179" si="49">((0.0559)*((J162*H162^2*I162)))</f>
        <v>539.42501825963268</v>
      </c>
      <c r="Q162" s="69">
        <f t="shared" ref="Q162:Q179" si="50">((0.0673)*((J162*H162^2*I162)^0.976))</f>
        <v>521.08176874318247</v>
      </c>
      <c r="R162" s="69">
        <f t="shared" si="41"/>
        <v>714.60756926936097</v>
      </c>
      <c r="S162" s="68">
        <f t="shared" si="42"/>
        <v>454.89324069624001</v>
      </c>
      <c r="T162" s="68">
        <f t="shared" si="43"/>
        <v>247.32545549673245</v>
      </c>
      <c r="U162" s="69">
        <f t="shared" si="44"/>
        <v>566.57256683823766</v>
      </c>
      <c r="V162" s="69">
        <f t="shared" si="45"/>
        <v>87.185749623067935</v>
      </c>
    </row>
    <row r="163" spans="1:22" x14ac:dyDescent="0.3">
      <c r="A163" s="59" t="s">
        <v>83</v>
      </c>
      <c r="B163" s="7" t="s">
        <v>30</v>
      </c>
      <c r="C163" s="16">
        <v>1</v>
      </c>
      <c r="D163" s="16">
        <v>1</v>
      </c>
      <c r="E163" s="16">
        <v>1</v>
      </c>
      <c r="F163" s="16">
        <v>1312</v>
      </c>
      <c r="G163" s="16" t="s">
        <v>84</v>
      </c>
      <c r="H163" s="30">
        <f>SQRT(4.9^2 + 2^2 + 5.4^2 + 22^2)</f>
        <v>23.263060847618483</v>
      </c>
      <c r="I163" s="16">
        <v>6.3</v>
      </c>
      <c r="J163" s="52">
        <v>0.59479381399999998</v>
      </c>
      <c r="K163" s="70">
        <f t="shared" si="46"/>
        <v>339.53357241175394</v>
      </c>
      <c r="L163" s="70">
        <f t="shared" si="47"/>
        <v>116.82975550176413</v>
      </c>
      <c r="M163" s="70">
        <f t="shared" si="39"/>
        <v>83.164786802999998</v>
      </c>
      <c r="N163" s="68">
        <f t="shared" si="40"/>
        <v>57.630022196569826</v>
      </c>
      <c r="O163" s="69">
        <f t="shared" si="48"/>
        <v>103.21872452393757</v>
      </c>
      <c r="P163" s="69">
        <f t="shared" si="49"/>
        <v>113.35808842609254</v>
      </c>
      <c r="Q163" s="69">
        <f t="shared" si="50"/>
        <v>113.68071413219943</v>
      </c>
      <c r="R163" s="69">
        <f t="shared" si="41"/>
        <v>221.65687937476713</v>
      </c>
      <c r="S163" s="68">
        <f t="shared" si="42"/>
        <v>149.28953422827198</v>
      </c>
      <c r="T163" s="68">
        <f t="shared" si="43"/>
        <v>111.82618171438851</v>
      </c>
      <c r="U163" s="69">
        <f t="shared" si="44"/>
        <v>137.97860161424916</v>
      </c>
      <c r="V163" s="69">
        <f t="shared" si="45"/>
        <v>48.494484815385256</v>
      </c>
    </row>
    <row r="164" spans="1:22" x14ac:dyDescent="0.3">
      <c r="A164" s="59" t="s">
        <v>83</v>
      </c>
      <c r="B164" s="7" t="s">
        <v>30</v>
      </c>
      <c r="C164" s="16">
        <v>1</v>
      </c>
      <c r="D164" s="16">
        <v>1</v>
      </c>
      <c r="E164" s="16"/>
      <c r="F164" s="16">
        <v>2876</v>
      </c>
      <c r="G164" s="16" t="s">
        <v>84</v>
      </c>
      <c r="H164" s="21">
        <v>30.6</v>
      </c>
      <c r="I164" s="16">
        <v>12</v>
      </c>
      <c r="J164" s="52">
        <v>0.69101458650000003</v>
      </c>
      <c r="K164" s="70">
        <f t="shared" si="46"/>
        <v>679.34562771356741</v>
      </c>
      <c r="L164" s="70">
        <f t="shared" si="47"/>
        <v>299.90744303611081</v>
      </c>
      <c r="M164" s="70">
        <f t="shared" si="39"/>
        <v>274.08755376000005</v>
      </c>
      <c r="N164" s="68">
        <f t="shared" si="40"/>
        <v>195.18636289217085</v>
      </c>
      <c r="O164" s="69">
        <f t="shared" si="48"/>
        <v>395.21106584580764</v>
      </c>
      <c r="P164" s="69">
        <f t="shared" si="49"/>
        <v>434.03337093871602</v>
      </c>
      <c r="Q164" s="69">
        <f t="shared" si="50"/>
        <v>421.46712682752604</v>
      </c>
      <c r="R164" s="69">
        <f t="shared" si="41"/>
        <v>578.31873944139909</v>
      </c>
      <c r="S164" s="68">
        <f t="shared" si="42"/>
        <v>362.13174685046226</v>
      </c>
      <c r="T164" s="68">
        <f t="shared" si="43"/>
        <v>187.16239697074903</v>
      </c>
      <c r="U164" s="69">
        <f t="shared" si="44"/>
        <v>457.25757576336218</v>
      </c>
      <c r="V164" s="69">
        <f t="shared" si="45"/>
        <v>71.284455999880365</v>
      </c>
    </row>
    <row r="165" spans="1:22" x14ac:dyDescent="0.3">
      <c r="A165" s="59" t="s">
        <v>85</v>
      </c>
      <c r="B165" s="7" t="s">
        <v>30</v>
      </c>
      <c r="C165" s="16">
        <v>1</v>
      </c>
      <c r="D165" s="16">
        <v>1</v>
      </c>
      <c r="E165" s="16">
        <v>2</v>
      </c>
      <c r="F165" s="16">
        <v>1323</v>
      </c>
      <c r="G165" s="16" t="s">
        <v>86</v>
      </c>
      <c r="H165" s="21">
        <v>22.3</v>
      </c>
      <c r="I165" s="16">
        <v>14</v>
      </c>
      <c r="J165" s="52">
        <v>0.52661747799999992</v>
      </c>
      <c r="K165" s="70">
        <f t="shared" si="46"/>
        <v>305.08923162346167</v>
      </c>
      <c r="L165" s="70">
        <f t="shared" si="47"/>
        <v>147.77074175739691</v>
      </c>
      <c r="M165" s="70">
        <f t="shared" si="39"/>
        <v>169.82552958000002</v>
      </c>
      <c r="N165" s="68">
        <f t="shared" si="40"/>
        <v>182.47975058992478</v>
      </c>
      <c r="O165" s="69">
        <f t="shared" si="48"/>
        <v>186.61683217523017</v>
      </c>
      <c r="P165" s="69">
        <f t="shared" si="49"/>
        <v>204.94854456965359</v>
      </c>
      <c r="Q165" s="69">
        <f t="shared" si="50"/>
        <v>202.63128668042239</v>
      </c>
      <c r="R165" s="69">
        <f t="shared" si="41"/>
        <v>233.29363976011305</v>
      </c>
      <c r="S165" s="68">
        <f t="shared" si="42"/>
        <v>201.29131338769588</v>
      </c>
      <c r="T165" s="68">
        <f t="shared" si="43"/>
        <v>61.20136816942852</v>
      </c>
      <c r="U165" s="69">
        <f t="shared" si="44"/>
        <v>206.87257579635479</v>
      </c>
      <c r="V165" s="69">
        <f t="shared" si="45"/>
        <v>16.808169145894386</v>
      </c>
    </row>
    <row r="166" spans="1:22" x14ac:dyDescent="0.3">
      <c r="A166" s="59" t="s">
        <v>85</v>
      </c>
      <c r="B166" s="7" t="s">
        <v>30</v>
      </c>
      <c r="C166" s="16">
        <v>1</v>
      </c>
      <c r="D166" s="16">
        <v>3</v>
      </c>
      <c r="E166" s="16">
        <v>1</v>
      </c>
      <c r="F166" s="16">
        <v>1720</v>
      </c>
      <c r="G166" s="16" t="s">
        <v>86</v>
      </c>
      <c r="H166" s="21">
        <v>24.6</v>
      </c>
      <c r="I166" s="16">
        <v>17.399999999999999</v>
      </c>
      <c r="J166" s="52">
        <v>0.52435211349999999</v>
      </c>
      <c r="K166" s="70">
        <f t="shared" si="46"/>
        <v>391.09421914374781</v>
      </c>
      <c r="L166" s="70">
        <f t="shared" si="47"/>
        <v>205.94266594907864</v>
      </c>
      <c r="M166" s="70">
        <f t="shared" si="39"/>
        <v>256.85302111200008</v>
      </c>
      <c r="N166" s="68">
        <f t="shared" si="40"/>
        <v>276.87767477597674</v>
      </c>
      <c r="O166" s="69">
        <f t="shared" si="48"/>
        <v>281.03490780051288</v>
      </c>
      <c r="P166" s="69">
        <f t="shared" si="49"/>
        <v>308.64148027600527</v>
      </c>
      <c r="Q166" s="69">
        <f t="shared" si="50"/>
        <v>302.16804164159043</v>
      </c>
      <c r="R166" s="69">
        <f t="shared" si="41"/>
        <v>307.56684459306632</v>
      </c>
      <c r="S166" s="68">
        <f t="shared" si="42"/>
        <v>282.69189524520084</v>
      </c>
      <c r="T166" s="68">
        <f t="shared" si="43"/>
        <v>67.718093225315855</v>
      </c>
      <c r="U166" s="69">
        <f t="shared" si="44"/>
        <v>299.85281857779376</v>
      </c>
      <c r="V166" s="69">
        <f t="shared" si="45"/>
        <v>11.138006954419087</v>
      </c>
    </row>
    <row r="167" spans="1:22" x14ac:dyDescent="0.3">
      <c r="A167" s="59" t="s">
        <v>85</v>
      </c>
      <c r="B167" s="7" t="s">
        <v>30</v>
      </c>
      <c r="C167" s="16">
        <v>1</v>
      </c>
      <c r="D167" s="16">
        <v>3</v>
      </c>
      <c r="E167" s="16"/>
      <c r="F167" s="16">
        <v>413</v>
      </c>
      <c r="G167" s="16" t="s">
        <v>86</v>
      </c>
      <c r="H167" s="21">
        <v>40.1</v>
      </c>
      <c r="I167" s="16">
        <v>16.3</v>
      </c>
      <c r="J167" s="52">
        <v>0.59839607350000001</v>
      </c>
      <c r="K167" s="70">
        <f t="shared" si="46"/>
        <v>1346.3898790604949</v>
      </c>
      <c r="L167" s="70">
        <f t="shared" si="47"/>
        <v>661.05114760517984</v>
      </c>
      <c r="M167" s="70">
        <f t="shared" si="39"/>
        <v>639.35426325900016</v>
      </c>
      <c r="N167" s="68">
        <f t="shared" si="40"/>
        <v>397.61253360175448</v>
      </c>
      <c r="O167" s="69">
        <f t="shared" si="48"/>
        <v>798.33076735630107</v>
      </c>
      <c r="P167" s="69">
        <f t="shared" si="49"/>
        <v>876.75225727342308</v>
      </c>
      <c r="Q167" s="69">
        <f t="shared" si="50"/>
        <v>837.12244607778234</v>
      </c>
      <c r="R167" s="69">
        <f t="shared" si="41"/>
        <v>972.39111203948562</v>
      </c>
      <c r="S167" s="68">
        <f t="shared" si="42"/>
        <v>761.1019558816073</v>
      </c>
      <c r="T167" s="68">
        <f t="shared" si="43"/>
        <v>353.38335346479334</v>
      </c>
      <c r="U167" s="69">
        <f t="shared" si="44"/>
        <v>871.14914568674806</v>
      </c>
      <c r="V167" s="69">
        <f t="shared" si="45"/>
        <v>64.694789433493938</v>
      </c>
    </row>
    <row r="168" spans="1:22" x14ac:dyDescent="0.3">
      <c r="A168" s="59" t="s">
        <v>85</v>
      </c>
      <c r="B168" s="7" t="s">
        <v>30</v>
      </c>
      <c r="C168" s="16">
        <v>2</v>
      </c>
      <c r="D168" s="16">
        <v>2</v>
      </c>
      <c r="E168" s="16">
        <v>1</v>
      </c>
      <c r="F168" s="16">
        <v>442</v>
      </c>
      <c r="G168" s="16" t="s">
        <v>86</v>
      </c>
      <c r="H168" s="21">
        <v>15.6</v>
      </c>
      <c r="I168" s="16">
        <v>11.6</v>
      </c>
      <c r="J168" s="52">
        <v>0.48454364475</v>
      </c>
      <c r="K168" s="70">
        <f t="shared" si="46"/>
        <v>123.54375848971559</v>
      </c>
      <c r="L168" s="70">
        <f t="shared" si="47"/>
        <v>56.99440543933931</v>
      </c>
      <c r="M168" s="70">
        <f t="shared" si="39"/>
        <v>68.860853567999996</v>
      </c>
      <c r="N168" s="68">
        <f t="shared" si="40"/>
        <v>98.482828709726491</v>
      </c>
      <c r="O168" s="69">
        <f t="shared" si="48"/>
        <v>69.623823576162394</v>
      </c>
      <c r="P168" s="69">
        <f t="shared" si="49"/>
        <v>76.463098976571274</v>
      </c>
      <c r="Q168" s="69">
        <f t="shared" si="50"/>
        <v>77.408774117320149</v>
      </c>
      <c r="R168" s="69">
        <f t="shared" si="41"/>
        <v>94.136458381900852</v>
      </c>
      <c r="S168" s="68">
        <f t="shared" si="42"/>
        <v>86.970461551695351</v>
      </c>
      <c r="T168" s="68">
        <f t="shared" si="43"/>
        <v>25.964699535485444</v>
      </c>
      <c r="U168" s="69">
        <f t="shared" si="44"/>
        <v>79.408038762988667</v>
      </c>
      <c r="V168" s="69">
        <f t="shared" si="45"/>
        <v>9.0184109016212322</v>
      </c>
    </row>
    <row r="169" spans="1:22" x14ac:dyDescent="0.3">
      <c r="A169" s="59" t="s">
        <v>85</v>
      </c>
      <c r="B169" s="7" t="s">
        <v>30</v>
      </c>
      <c r="C169" s="16">
        <v>2</v>
      </c>
      <c r="D169" s="16">
        <v>1</v>
      </c>
      <c r="E169" s="16"/>
      <c r="F169" s="16">
        <v>313</v>
      </c>
      <c r="G169" s="16" t="s">
        <v>86</v>
      </c>
      <c r="H169" s="21">
        <v>14.4</v>
      </c>
      <c r="I169" s="16">
        <v>13.3</v>
      </c>
      <c r="J169" s="52">
        <v>0.54965722949999996</v>
      </c>
      <c r="K169" s="70">
        <f t="shared" si="46"/>
        <v>100.8957053124434</v>
      </c>
      <c r="L169" s="70">
        <f t="shared" si="47"/>
        <v>49.665555376640043</v>
      </c>
      <c r="M169" s="70">
        <f t="shared" si="39"/>
        <v>67.273161984000012</v>
      </c>
      <c r="N169" s="68">
        <f t="shared" si="40"/>
        <v>112.03777379423182</v>
      </c>
      <c r="O169" s="69">
        <f t="shared" si="48"/>
        <v>77.158957637180961</v>
      </c>
      <c r="P169" s="69">
        <f t="shared" si="49"/>
        <v>84.738423023937443</v>
      </c>
      <c r="Q169" s="69">
        <f t="shared" si="50"/>
        <v>85.575134069886104</v>
      </c>
      <c r="R169" s="69">
        <f t="shared" si="41"/>
        <v>95.406758699280559</v>
      </c>
      <c r="S169" s="68">
        <f t="shared" si="42"/>
        <v>82.468049116828823</v>
      </c>
      <c r="T169" s="68">
        <f t="shared" si="43"/>
        <v>25.10396044907915</v>
      </c>
      <c r="U169" s="69">
        <f t="shared" si="44"/>
        <v>85.71981835757127</v>
      </c>
      <c r="V169" s="69">
        <f t="shared" si="45"/>
        <v>6.4828469787921446</v>
      </c>
    </row>
    <row r="170" spans="1:22" x14ac:dyDescent="0.3">
      <c r="A170" s="59" t="s">
        <v>87</v>
      </c>
      <c r="B170" s="7" t="s">
        <v>30</v>
      </c>
      <c r="C170" s="22">
        <v>1</v>
      </c>
      <c r="D170" s="22">
        <v>3</v>
      </c>
      <c r="E170" s="16">
        <v>1</v>
      </c>
      <c r="F170" s="16">
        <v>1728</v>
      </c>
      <c r="G170" s="16" t="s">
        <v>84</v>
      </c>
      <c r="H170" s="21">
        <v>16.100000000000001</v>
      </c>
      <c r="I170" s="16">
        <v>11.5</v>
      </c>
      <c r="J170" s="52">
        <v>0.27271490774999996</v>
      </c>
      <c r="K170" s="70">
        <f t="shared" si="46"/>
        <v>133.80891277392826</v>
      </c>
      <c r="L170" s="70">
        <f t="shared" si="47"/>
        <v>61.336151073302617</v>
      </c>
      <c r="M170" s="70">
        <f t="shared" si="39"/>
        <v>72.713459595000018</v>
      </c>
      <c r="N170" s="68">
        <f t="shared" si="40"/>
        <v>100.14469053055431</v>
      </c>
      <c r="O170" s="69">
        <f t="shared" si="48"/>
        <v>41.378643925091595</v>
      </c>
      <c r="P170" s="69">
        <f t="shared" si="49"/>
        <v>45.443343721269557</v>
      </c>
      <c r="Q170" s="69">
        <f t="shared" si="50"/>
        <v>46.583501783667181</v>
      </c>
      <c r="R170" s="69">
        <f t="shared" si="41"/>
        <v>54.01868750552859</v>
      </c>
      <c r="S170" s="68">
        <f t="shared" si="42"/>
        <v>92.000803493196301</v>
      </c>
      <c r="T170" s="68">
        <f t="shared" si="43"/>
        <v>27.957840762418734</v>
      </c>
      <c r="U170" s="69">
        <f t="shared" si="44"/>
        <v>46.856044233889229</v>
      </c>
      <c r="V170" s="69">
        <f t="shared" si="45"/>
        <v>4.5655058565592146</v>
      </c>
    </row>
    <row r="171" spans="1:22" x14ac:dyDescent="0.3">
      <c r="A171" s="59" t="s">
        <v>87</v>
      </c>
      <c r="B171" s="7" t="s">
        <v>30</v>
      </c>
      <c r="C171" s="22">
        <v>1</v>
      </c>
      <c r="D171" s="22">
        <v>3</v>
      </c>
      <c r="E171" s="16"/>
      <c r="F171" s="16">
        <v>4996</v>
      </c>
      <c r="G171" s="16" t="s">
        <v>84</v>
      </c>
      <c r="H171" s="21">
        <v>17.5</v>
      </c>
      <c r="I171" s="16">
        <v>14</v>
      </c>
      <c r="J171" s="52">
        <v>0.38126894099999997</v>
      </c>
      <c r="K171" s="70">
        <f t="shared" si="46"/>
        <v>165.23492162872634</v>
      </c>
      <c r="L171" s="70">
        <f t="shared" si="47"/>
        <v>81.730499071401255</v>
      </c>
      <c r="M171" s="70">
        <f t="shared" si="39"/>
        <v>104.58498750000001</v>
      </c>
      <c r="N171" s="68">
        <f t="shared" si="40"/>
        <v>145.29184996165822</v>
      </c>
      <c r="O171" s="69">
        <f t="shared" si="48"/>
        <v>83.20575075295875</v>
      </c>
      <c r="P171" s="69">
        <f t="shared" si="49"/>
        <v>91.379203675646238</v>
      </c>
      <c r="Q171" s="69">
        <f t="shared" si="50"/>
        <v>92.114536664407069</v>
      </c>
      <c r="R171" s="69">
        <f t="shared" si="41"/>
        <v>98.792906832332378</v>
      </c>
      <c r="S171" s="68">
        <f t="shared" si="42"/>
        <v>124.21056454044646</v>
      </c>
      <c r="T171" s="68">
        <f t="shared" si="43"/>
        <v>32.852464542033061</v>
      </c>
      <c r="U171" s="69">
        <f t="shared" si="44"/>
        <v>91.373099481336112</v>
      </c>
      <c r="V171" s="69">
        <f t="shared" si="45"/>
        <v>5.5296675472955403</v>
      </c>
    </row>
    <row r="172" spans="1:22" x14ac:dyDescent="0.3">
      <c r="A172" s="59" t="s">
        <v>87</v>
      </c>
      <c r="B172" s="7" t="s">
        <v>38</v>
      </c>
      <c r="C172" s="22">
        <v>1</v>
      </c>
      <c r="D172" s="22">
        <v>2</v>
      </c>
      <c r="E172" s="16"/>
      <c r="F172" s="16">
        <v>4999</v>
      </c>
      <c r="G172" s="16" t="s">
        <v>84</v>
      </c>
      <c r="H172" s="21">
        <v>51</v>
      </c>
      <c r="I172" s="16">
        <v>21.4</v>
      </c>
      <c r="J172" s="52">
        <v>0.38791938300000001</v>
      </c>
      <c r="K172" s="70">
        <f t="shared" si="46"/>
        <v>2473.820141394564</v>
      </c>
      <c r="L172" s="70">
        <f t="shared" si="47"/>
        <v>1334.9509803374719</v>
      </c>
      <c r="M172" s="70">
        <f t="shared" si="39"/>
        <v>1357.7485302</v>
      </c>
      <c r="N172" s="68">
        <f t="shared" si="40"/>
        <v>748.48047290197155</v>
      </c>
      <c r="O172" s="69">
        <f t="shared" si="48"/>
        <v>1099.0397195962346</v>
      </c>
      <c r="P172" s="69">
        <f t="shared" si="49"/>
        <v>1207.0003993208156</v>
      </c>
      <c r="Q172" s="69">
        <f t="shared" si="50"/>
        <v>1143.6353619833046</v>
      </c>
      <c r="R172" s="69">
        <f t="shared" si="41"/>
        <v>1110.7952909480296</v>
      </c>
      <c r="S172" s="68">
        <f t="shared" si="42"/>
        <v>1478.7500312085019</v>
      </c>
      <c r="T172" s="68">
        <f t="shared" si="43"/>
        <v>624.25509254082908</v>
      </c>
      <c r="U172" s="69">
        <f t="shared" si="44"/>
        <v>1140.117692962096</v>
      </c>
      <c r="V172" s="69">
        <f t="shared" si="45"/>
        <v>41.931114822201046</v>
      </c>
    </row>
    <row r="173" spans="1:22" x14ac:dyDescent="0.3">
      <c r="A173" s="59" t="s">
        <v>87</v>
      </c>
      <c r="B173" s="7" t="s">
        <v>38</v>
      </c>
      <c r="C173" s="22">
        <v>1</v>
      </c>
      <c r="D173" s="22">
        <v>1</v>
      </c>
      <c r="E173" s="16"/>
      <c r="F173" s="16">
        <v>460</v>
      </c>
      <c r="G173" s="16" t="s">
        <v>84</v>
      </c>
      <c r="H173" s="21">
        <v>30.2</v>
      </c>
      <c r="I173" s="16">
        <v>13.6</v>
      </c>
      <c r="J173" s="52">
        <v>0.48020866600000001</v>
      </c>
      <c r="K173" s="70">
        <f t="shared" si="46"/>
        <v>657.10253298059672</v>
      </c>
      <c r="L173" s="70">
        <f t="shared" si="47"/>
        <v>306.23212004278639</v>
      </c>
      <c r="M173" s="70">
        <f t="shared" si="39"/>
        <v>302.564527392</v>
      </c>
      <c r="N173" s="68">
        <f t="shared" si="40"/>
        <v>232.40453237614614</v>
      </c>
      <c r="O173" s="69">
        <f t="shared" si="48"/>
        <v>303.18001480595609</v>
      </c>
      <c r="P173" s="69">
        <f t="shared" si="49"/>
        <v>332.96194160418366</v>
      </c>
      <c r="Q173" s="69">
        <f t="shared" si="50"/>
        <v>325.38555173088366</v>
      </c>
      <c r="R173" s="69">
        <f t="shared" si="41"/>
        <v>396.61002019734815</v>
      </c>
      <c r="S173" s="68">
        <f t="shared" si="42"/>
        <v>374.57592819788232</v>
      </c>
      <c r="T173" s="68">
        <f t="shared" si="43"/>
        <v>165.7486848809931</v>
      </c>
      <c r="U173" s="69">
        <f t="shared" si="44"/>
        <v>339.53438208459289</v>
      </c>
      <c r="V173" s="69">
        <f t="shared" si="45"/>
        <v>34.722668605879022</v>
      </c>
    </row>
    <row r="174" spans="1:22" x14ac:dyDescent="0.3">
      <c r="A174" s="59" t="s">
        <v>87</v>
      </c>
      <c r="B174" s="7" t="s">
        <v>38</v>
      </c>
      <c r="C174" s="22">
        <v>1</v>
      </c>
      <c r="D174" s="22">
        <v>1</v>
      </c>
      <c r="E174" s="16"/>
      <c r="F174" s="16">
        <v>203</v>
      </c>
      <c r="G174" s="16" t="s">
        <v>84</v>
      </c>
      <c r="H174" s="21">
        <v>21.4</v>
      </c>
      <c r="I174" s="16">
        <v>11.5</v>
      </c>
      <c r="J174" s="52">
        <v>0.33314518000000004</v>
      </c>
      <c r="K174" s="70">
        <f t="shared" si="46"/>
        <v>274.89220327557751</v>
      </c>
      <c r="L174" s="70">
        <f t="shared" si="47"/>
        <v>122.93788869181564</v>
      </c>
      <c r="M174" s="70">
        <f t="shared" si="39"/>
        <v>128.46671021999998</v>
      </c>
      <c r="N174" s="68">
        <f t="shared" si="40"/>
        <v>130.86608455565636</v>
      </c>
      <c r="O174" s="69">
        <f t="shared" si="48"/>
        <v>89.305190988509466</v>
      </c>
      <c r="P174" s="69">
        <f t="shared" si="49"/>
        <v>98.077803069895467</v>
      </c>
      <c r="Q174" s="69">
        <f t="shared" si="50"/>
        <v>98.699322456924676</v>
      </c>
      <c r="R174" s="69">
        <f t="shared" si="41"/>
        <v>122.16093411704669</v>
      </c>
      <c r="S174" s="68">
        <f t="shared" si="42"/>
        <v>164.29072168576238</v>
      </c>
      <c r="T174" s="68">
        <f t="shared" si="43"/>
        <v>63.92047929119785</v>
      </c>
      <c r="U174" s="69">
        <f t="shared" si="44"/>
        <v>102.06081265809406</v>
      </c>
      <c r="V174" s="69">
        <f t="shared" si="45"/>
        <v>12.184875343991743</v>
      </c>
    </row>
    <row r="175" spans="1:22" x14ac:dyDescent="0.3">
      <c r="A175" s="59" t="s">
        <v>88</v>
      </c>
      <c r="B175" s="7" t="s">
        <v>30</v>
      </c>
      <c r="C175" s="16">
        <v>1</v>
      </c>
      <c r="D175" s="16">
        <v>2</v>
      </c>
      <c r="E175" s="16">
        <v>2</v>
      </c>
      <c r="F175" s="16">
        <v>4972</v>
      </c>
      <c r="G175" s="16" t="s">
        <v>21</v>
      </c>
      <c r="H175" s="31">
        <f>SQRT(14.9^2+7.4^2)</f>
        <v>16.636405861844079</v>
      </c>
      <c r="I175" s="18">
        <v>9.6999999999999993</v>
      </c>
      <c r="J175" s="52">
        <v>0.92542914850000002</v>
      </c>
      <c r="K175" s="70">
        <f t="shared" si="46"/>
        <v>145.37714243119657</v>
      </c>
      <c r="L175" s="70">
        <f t="shared" si="47"/>
        <v>61.827131955242663</v>
      </c>
      <c r="M175" s="70">
        <f t="shared" si="39"/>
        <v>65.487130917000016</v>
      </c>
      <c r="N175" s="68">
        <f t="shared" si="40"/>
        <v>80.098178248135198</v>
      </c>
      <c r="O175" s="69">
        <f t="shared" si="48"/>
        <v>126.45957118572424</v>
      </c>
      <c r="P175" s="69">
        <f t="shared" si="49"/>
        <v>138.88192591909601</v>
      </c>
      <c r="Q175" s="69">
        <f t="shared" si="50"/>
        <v>138.60004541137113</v>
      </c>
      <c r="R175" s="69">
        <f t="shared" si="41"/>
        <v>203.67383890198499</v>
      </c>
      <c r="S175" s="68">
        <f t="shared" si="42"/>
        <v>88.197395887893606</v>
      </c>
      <c r="T175" s="68">
        <f t="shared" si="43"/>
        <v>33.713008231461686</v>
      </c>
      <c r="U175" s="69">
        <f t="shared" si="44"/>
        <v>151.9038453545441</v>
      </c>
      <c r="V175" s="69">
        <f t="shared" si="45"/>
        <v>30.307197159220301</v>
      </c>
    </row>
    <row r="176" spans="1:22" x14ac:dyDescent="0.3">
      <c r="A176" s="59" t="s">
        <v>88</v>
      </c>
      <c r="B176" s="7" t="s">
        <v>30</v>
      </c>
      <c r="C176" s="16">
        <v>2</v>
      </c>
      <c r="D176" s="16">
        <v>1</v>
      </c>
      <c r="E176" s="16"/>
      <c r="F176" s="16">
        <v>424</v>
      </c>
      <c r="G176" s="16" t="s">
        <v>21</v>
      </c>
      <c r="H176" s="21">
        <v>17.600000000000001</v>
      </c>
      <c r="I176" s="16">
        <v>12.7</v>
      </c>
      <c r="J176" s="52">
        <v>0.90652633824999995</v>
      </c>
      <c r="K176" s="70">
        <f t="shared" si="46"/>
        <v>167.63419960794138</v>
      </c>
      <c r="L176" s="70">
        <f t="shared" si="47"/>
        <v>79.524667505994231</v>
      </c>
      <c r="M176" s="70">
        <f t="shared" si="39"/>
        <v>95.960891136000015</v>
      </c>
      <c r="N176" s="68">
        <f t="shared" si="40"/>
        <v>126.28983670346861</v>
      </c>
      <c r="O176" s="69">
        <f t="shared" si="48"/>
        <v>181.52116306183333</v>
      </c>
      <c r="P176" s="69">
        <f t="shared" si="49"/>
        <v>199.35231856888967</v>
      </c>
      <c r="Q176" s="69">
        <f t="shared" si="50"/>
        <v>197.22933928072297</v>
      </c>
      <c r="R176" s="69">
        <f t="shared" si="41"/>
        <v>245.84954835968313</v>
      </c>
      <c r="S176" s="68">
        <f t="shared" si="42"/>
        <v>117.35239873835107</v>
      </c>
      <c r="T176" s="68">
        <f t="shared" si="43"/>
        <v>33.52861145260237</v>
      </c>
      <c r="U176" s="69">
        <f t="shared" si="44"/>
        <v>205.98809231778228</v>
      </c>
      <c r="V176" s="69">
        <f t="shared" si="45"/>
        <v>24.022466323249819</v>
      </c>
    </row>
    <row r="177" spans="1:22" x14ac:dyDescent="0.3">
      <c r="A177" s="59" t="s">
        <v>88</v>
      </c>
      <c r="B177" s="7" t="s">
        <v>30</v>
      </c>
      <c r="C177" s="16">
        <v>2</v>
      </c>
      <c r="D177" s="16">
        <v>1</v>
      </c>
      <c r="E177" s="16">
        <v>1</v>
      </c>
      <c r="F177" s="16">
        <v>79</v>
      </c>
      <c r="G177" s="16" t="s">
        <v>21</v>
      </c>
      <c r="H177" s="30">
        <f>SQRT(15.1^2+16.6^2+15.4^2)</f>
        <v>27.21635537686852</v>
      </c>
      <c r="I177" s="16">
        <v>12.7</v>
      </c>
      <c r="J177" s="52">
        <v>0.89703169549999995</v>
      </c>
      <c r="K177" s="70">
        <f t="shared" si="46"/>
        <v>505.05118260350798</v>
      </c>
      <c r="L177" s="70">
        <f t="shared" si="47"/>
        <v>230.71265717335584</v>
      </c>
      <c r="M177" s="70">
        <f t="shared" si="39"/>
        <v>229.47156150299998</v>
      </c>
      <c r="N177" s="68">
        <f t="shared" si="40"/>
        <v>190.26869668458679</v>
      </c>
      <c r="O177" s="69">
        <f t="shared" si="48"/>
        <v>429.52577098754119</v>
      </c>
      <c r="P177" s="69">
        <f t="shared" si="49"/>
        <v>471.71887226333109</v>
      </c>
      <c r="Q177" s="69">
        <f t="shared" si="50"/>
        <v>457.14712548225572</v>
      </c>
      <c r="R177" s="69">
        <f t="shared" si="41"/>
        <v>609.82354056752195</v>
      </c>
      <c r="S177" s="68">
        <f t="shared" si="42"/>
        <v>288.87602449111267</v>
      </c>
      <c r="T177" s="68">
        <f t="shared" si="43"/>
        <v>125.86398571742934</v>
      </c>
      <c r="U177" s="69">
        <f t="shared" si="44"/>
        <v>492.0538273251625</v>
      </c>
      <c r="V177" s="69">
        <f t="shared" si="45"/>
        <v>69.662492450142082</v>
      </c>
    </row>
    <row r="178" spans="1:22" x14ac:dyDescent="0.3">
      <c r="A178" s="59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87</v>
      </c>
      <c r="G178" s="16" t="s">
        <v>21</v>
      </c>
      <c r="H178" s="30">
        <f>SQRT(9.8^2+10.5^2)</f>
        <v>14.362799170078235</v>
      </c>
      <c r="I178" s="16">
        <v>12.2</v>
      </c>
      <c r="J178" s="52">
        <v>0.95122003050000004</v>
      </c>
      <c r="K178" s="70">
        <f t="shared" si="46"/>
        <v>100.23755576314639</v>
      </c>
      <c r="L178" s="70">
        <f t="shared" si="47"/>
        <v>47.58047947117366</v>
      </c>
      <c r="M178" s="70">
        <f t="shared" si="39"/>
        <v>61.390790034000013</v>
      </c>
      <c r="N178" s="68">
        <f t="shared" si="40"/>
        <v>98.248221512566232</v>
      </c>
      <c r="O178" s="69">
        <f t="shared" si="48"/>
        <v>121.8531542934339</v>
      </c>
      <c r="P178" s="69">
        <f t="shared" si="49"/>
        <v>133.82301227903645</v>
      </c>
      <c r="Q178" s="69">
        <f t="shared" si="50"/>
        <v>133.67038590779885</v>
      </c>
      <c r="R178" s="69">
        <f t="shared" si="41"/>
        <v>166.33787233482079</v>
      </c>
      <c r="S178" s="68">
        <f t="shared" si="42"/>
        <v>76.864261695221586</v>
      </c>
      <c r="T178" s="68">
        <f t="shared" si="43"/>
        <v>22.915894263870566</v>
      </c>
      <c r="U178" s="69">
        <f t="shared" si="44"/>
        <v>138.9211062037725</v>
      </c>
      <c r="V178" s="69">
        <f t="shared" si="45"/>
        <v>16.557133453516425</v>
      </c>
    </row>
    <row r="179" spans="1:22" x14ac:dyDescent="0.3">
      <c r="A179" s="59" t="s">
        <v>88</v>
      </c>
      <c r="B179" s="7" t="s">
        <v>30</v>
      </c>
      <c r="C179" s="16">
        <v>2</v>
      </c>
      <c r="D179" s="16">
        <v>1</v>
      </c>
      <c r="E179" s="16">
        <v>2</v>
      </c>
      <c r="F179" s="16">
        <v>109</v>
      </c>
      <c r="G179" s="16" t="s">
        <v>21</v>
      </c>
      <c r="H179" s="21">
        <v>11.9</v>
      </c>
      <c r="I179" s="16">
        <v>11.7</v>
      </c>
      <c r="J179" s="52">
        <v>0.97034195349999997</v>
      </c>
      <c r="K179" s="70">
        <f t="shared" si="46"/>
        <v>62.280112436143334</v>
      </c>
      <c r="L179" s="70">
        <f t="shared" si="47"/>
        <v>29.520746608002675</v>
      </c>
      <c r="M179" s="70">
        <f t="shared" si="39"/>
        <v>40.415224941000005</v>
      </c>
      <c r="N179" s="68">
        <f t="shared" si="40"/>
        <v>77.335483570311951</v>
      </c>
      <c r="O179" s="69">
        <f t="shared" si="48"/>
        <v>81.831851166643958</v>
      </c>
      <c r="P179" s="69">
        <f t="shared" si="49"/>
        <v>89.870343422699335</v>
      </c>
      <c r="Q179" s="69">
        <f t="shared" si="50"/>
        <v>90.62974277157177</v>
      </c>
      <c r="R179" s="69">
        <f t="shared" si="41"/>
        <v>112.65513744810222</v>
      </c>
      <c r="S179" s="68">
        <f t="shared" si="42"/>
        <v>52.387891888864488</v>
      </c>
      <c r="T179" s="68">
        <f t="shared" si="43"/>
        <v>18.617796897060344</v>
      </c>
      <c r="U179" s="69">
        <f t="shared" si="44"/>
        <v>93.746768702254315</v>
      </c>
      <c r="V179" s="69">
        <f t="shared" si="45"/>
        <v>11.448080539001699</v>
      </c>
    </row>
    <row r="180" spans="1:22" x14ac:dyDescent="0.3">
      <c r="T180" s="78">
        <f t="shared" ref="T180" si="51">AVERAGE(T2:T179)</f>
        <v>61.671448952795544</v>
      </c>
      <c r="U180" s="77"/>
      <c r="V180" s="77">
        <f>AVERAGE(V2:V179)</f>
        <v>16.711625880040248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B9BF-B461-466A-B997-28ED570B3D28}">
  <sheetPr filterMode="1"/>
  <dimension ref="A1:Z1000"/>
  <sheetViews>
    <sheetView topLeftCell="H1" zoomScaleNormal="100" workbookViewId="0">
      <selection activeCell="L37" sqref="L37"/>
    </sheetView>
  </sheetViews>
  <sheetFormatPr defaultColWidth="9.109375" defaultRowHeight="14.4" x14ac:dyDescent="0.3"/>
  <cols>
    <col min="1" max="1" width="3" style="33" bestFit="1" customWidth="1"/>
    <col min="2" max="2" width="17.44140625" style="33" bestFit="1" customWidth="1"/>
    <col min="3" max="3" width="50.6640625" style="33" bestFit="1" customWidth="1"/>
    <col min="4" max="4" width="62" style="33" bestFit="1" customWidth="1"/>
    <col min="5" max="5" width="26.5546875" style="33" bestFit="1" customWidth="1"/>
    <col min="6" max="6" width="54.6640625" style="33" customWidth="1"/>
    <col min="7" max="7" width="21" style="33" bestFit="1" customWidth="1"/>
    <col min="8" max="8" width="24" style="33" bestFit="1" customWidth="1"/>
    <col min="9" max="9" width="26.88671875" style="33" bestFit="1" customWidth="1"/>
    <col min="10" max="10" width="28.44140625" style="33" customWidth="1"/>
    <col min="11" max="11" width="14.33203125" style="33" bestFit="1" customWidth="1"/>
    <col min="12" max="12" width="64.33203125" style="33" customWidth="1"/>
    <col min="13" max="13" width="23.33203125" style="33" bestFit="1" customWidth="1"/>
    <col min="14" max="14" width="84" style="33" customWidth="1"/>
    <col min="15" max="15" width="53.6640625" style="33" bestFit="1" customWidth="1"/>
    <col min="16" max="16" width="64.6640625" style="33" bestFit="1" customWidth="1"/>
    <col min="17" max="17" width="8.6640625" style="33" bestFit="1" customWidth="1"/>
    <col min="18" max="16384" width="9.109375" style="33"/>
  </cols>
  <sheetData>
    <row r="1" spans="1:26" ht="43.8" thickBot="1" x14ac:dyDescent="0.35">
      <c r="A1" s="32"/>
      <c r="B1" s="32" t="s">
        <v>200</v>
      </c>
      <c r="C1" s="32" t="s">
        <v>201</v>
      </c>
      <c r="D1" s="32" t="s">
        <v>202</v>
      </c>
      <c r="E1" s="50" t="s">
        <v>203</v>
      </c>
      <c r="F1" s="32" t="s">
        <v>204</v>
      </c>
      <c r="G1" s="32" t="s">
        <v>205</v>
      </c>
      <c r="H1" s="32" t="s">
        <v>206</v>
      </c>
      <c r="I1" s="32" t="s">
        <v>207</v>
      </c>
      <c r="J1" s="32" t="s">
        <v>208</v>
      </c>
      <c r="K1" s="32" t="s">
        <v>209</v>
      </c>
      <c r="L1" s="32" t="s">
        <v>210</v>
      </c>
      <c r="M1" s="32" t="s">
        <v>211</v>
      </c>
      <c r="N1" s="50" t="s">
        <v>212</v>
      </c>
      <c r="O1" s="50" t="s">
        <v>213</v>
      </c>
      <c r="P1" s="50" t="s">
        <v>214</v>
      </c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29.4" hidden="1" thickBot="1" x14ac:dyDescent="0.35">
      <c r="A2" s="32">
        <v>1</v>
      </c>
      <c r="B2" s="32">
        <v>2014</v>
      </c>
      <c r="C2" s="34" t="s">
        <v>215</v>
      </c>
      <c r="D2" s="35" t="s">
        <v>216</v>
      </c>
      <c r="E2" s="32"/>
      <c r="F2" s="32" t="s">
        <v>217</v>
      </c>
      <c r="G2" s="32" t="s">
        <v>218</v>
      </c>
      <c r="H2" s="32" t="s">
        <v>219</v>
      </c>
      <c r="I2" s="32" t="s">
        <v>220</v>
      </c>
      <c r="J2" s="32" t="s">
        <v>219</v>
      </c>
      <c r="K2" s="32" t="s">
        <v>221</v>
      </c>
      <c r="L2" s="32" t="s">
        <v>222</v>
      </c>
      <c r="M2" s="32" t="s">
        <v>223</v>
      </c>
      <c r="N2" s="32" t="s">
        <v>224</v>
      </c>
      <c r="O2" s="36" t="s">
        <v>225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29.4" thickBot="1" x14ac:dyDescent="0.35">
      <c r="A3" s="32">
        <v>2</v>
      </c>
      <c r="B3" s="32">
        <v>2006</v>
      </c>
      <c r="C3" s="32"/>
      <c r="D3" s="32" t="s">
        <v>226</v>
      </c>
      <c r="E3" s="32"/>
      <c r="F3" s="32" t="s">
        <v>227</v>
      </c>
      <c r="G3" s="32" t="s">
        <v>228</v>
      </c>
      <c r="H3" s="32" t="s">
        <v>229</v>
      </c>
      <c r="I3" s="32" t="s">
        <v>230</v>
      </c>
      <c r="J3" s="32" t="s">
        <v>231</v>
      </c>
      <c r="K3" s="32" t="s">
        <v>221</v>
      </c>
      <c r="L3" s="32" t="s">
        <v>232</v>
      </c>
      <c r="M3" s="32" t="s">
        <v>233</v>
      </c>
      <c r="N3" s="32" t="s">
        <v>234</v>
      </c>
      <c r="O3" s="37" t="s">
        <v>235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58.2" hidden="1" thickBot="1" x14ac:dyDescent="0.35">
      <c r="A4" s="32">
        <v>3</v>
      </c>
      <c r="B4" s="32">
        <v>2018</v>
      </c>
      <c r="C4" s="32" t="s">
        <v>236</v>
      </c>
      <c r="D4" s="32" t="s">
        <v>237</v>
      </c>
      <c r="E4" s="32" t="s">
        <v>238</v>
      </c>
      <c r="F4" s="32" t="s">
        <v>239</v>
      </c>
      <c r="G4" s="32" t="s">
        <v>240</v>
      </c>
      <c r="H4" s="32" t="s">
        <v>241</v>
      </c>
      <c r="I4" s="32" t="s">
        <v>230</v>
      </c>
      <c r="J4" s="32" t="s">
        <v>219</v>
      </c>
      <c r="K4" s="32" t="s">
        <v>221</v>
      </c>
      <c r="L4" s="32" t="s">
        <v>242</v>
      </c>
      <c r="M4" s="32" t="s">
        <v>243</v>
      </c>
      <c r="N4" s="32" t="s">
        <v>244</v>
      </c>
      <c r="O4" s="32" t="s">
        <v>245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43.8" hidden="1" thickBot="1" x14ac:dyDescent="0.35">
      <c r="A5" s="32">
        <v>4</v>
      </c>
      <c r="B5" s="32">
        <v>2015</v>
      </c>
      <c r="C5" s="34" t="s">
        <v>246</v>
      </c>
      <c r="D5" s="32" t="s">
        <v>247</v>
      </c>
      <c r="E5" s="32" t="s">
        <v>248</v>
      </c>
      <c r="F5" s="32" t="s">
        <v>249</v>
      </c>
      <c r="G5" s="32" t="s">
        <v>250</v>
      </c>
      <c r="H5" s="32" t="s">
        <v>251</v>
      </c>
      <c r="I5" s="32" t="s">
        <v>220</v>
      </c>
      <c r="J5" s="32" t="s">
        <v>252</v>
      </c>
      <c r="K5" s="32" t="s">
        <v>253</v>
      </c>
      <c r="L5" s="32" t="s">
        <v>254</v>
      </c>
      <c r="M5" s="32" t="s">
        <v>255</v>
      </c>
      <c r="N5" s="32" t="s">
        <v>256</v>
      </c>
      <c r="O5" s="38" t="s">
        <v>257</v>
      </c>
      <c r="P5" s="32" t="s">
        <v>258</v>
      </c>
      <c r="Q5" s="39" t="s">
        <v>259</v>
      </c>
      <c r="R5" s="32"/>
      <c r="S5" s="32"/>
      <c r="T5" s="32"/>
      <c r="U5" s="32"/>
      <c r="V5" s="32"/>
      <c r="W5" s="32"/>
      <c r="X5" s="32"/>
      <c r="Y5" s="32"/>
      <c r="Z5" s="32"/>
    </row>
    <row r="6" spans="1:26" ht="43.8" hidden="1" thickBot="1" x14ac:dyDescent="0.35">
      <c r="A6" s="32">
        <v>5</v>
      </c>
      <c r="B6" s="32">
        <v>2019</v>
      </c>
      <c r="C6" s="40" t="s">
        <v>260</v>
      </c>
      <c r="D6" s="32" t="s">
        <v>261</v>
      </c>
      <c r="E6" s="32" t="s">
        <v>248</v>
      </c>
      <c r="F6" s="32" t="s">
        <v>249</v>
      </c>
      <c r="G6" s="32" t="s">
        <v>218</v>
      </c>
      <c r="H6" s="32" t="s">
        <v>251</v>
      </c>
      <c r="I6" s="32" t="s">
        <v>262</v>
      </c>
      <c r="J6" s="32" t="s">
        <v>263</v>
      </c>
      <c r="K6" s="32" t="s">
        <v>221</v>
      </c>
      <c r="L6" s="32" t="s">
        <v>264</v>
      </c>
      <c r="M6" s="32" t="s">
        <v>255</v>
      </c>
      <c r="N6" s="32" t="s">
        <v>265</v>
      </c>
      <c r="O6" s="38" t="s">
        <v>266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29.4" hidden="1" thickBot="1" x14ac:dyDescent="0.35">
      <c r="A7" s="32">
        <v>6</v>
      </c>
      <c r="B7" s="32">
        <v>2020</v>
      </c>
      <c r="C7" s="40" t="s">
        <v>267</v>
      </c>
      <c r="D7" s="32" t="s">
        <v>268</v>
      </c>
      <c r="E7" s="32" t="s">
        <v>230</v>
      </c>
      <c r="F7" s="32" t="s">
        <v>269</v>
      </c>
      <c r="G7" s="32" t="s">
        <v>218</v>
      </c>
      <c r="H7" s="32" t="s">
        <v>251</v>
      </c>
      <c r="I7" s="32" t="s">
        <v>270</v>
      </c>
      <c r="J7" s="32" t="s">
        <v>263</v>
      </c>
      <c r="K7" s="32" t="s">
        <v>221</v>
      </c>
      <c r="L7" s="32" t="s">
        <v>271</v>
      </c>
      <c r="M7" s="32" t="s">
        <v>272</v>
      </c>
      <c r="N7" s="32" t="s">
        <v>273</v>
      </c>
      <c r="O7" s="36" t="s">
        <v>274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29.4" hidden="1" thickBot="1" x14ac:dyDescent="0.35">
      <c r="A8" s="32">
        <v>6</v>
      </c>
      <c r="B8" s="32">
        <v>2020</v>
      </c>
      <c r="C8" s="40" t="s">
        <v>267</v>
      </c>
      <c r="D8" s="32" t="s">
        <v>275</v>
      </c>
      <c r="E8" s="32" t="s">
        <v>276</v>
      </c>
      <c r="F8" s="32" t="s">
        <v>277</v>
      </c>
      <c r="G8" s="32" t="s">
        <v>218</v>
      </c>
      <c r="H8" s="32" t="s">
        <v>251</v>
      </c>
      <c r="I8" s="32" t="s">
        <v>270</v>
      </c>
      <c r="J8" s="32" t="s">
        <v>263</v>
      </c>
      <c r="K8" s="32" t="s">
        <v>221</v>
      </c>
      <c r="L8" s="32" t="s">
        <v>264</v>
      </c>
      <c r="M8" s="32" t="s">
        <v>272</v>
      </c>
      <c r="N8" s="32" t="s">
        <v>273</v>
      </c>
      <c r="O8" s="36" t="s">
        <v>278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29.4" thickBot="1" x14ac:dyDescent="0.35">
      <c r="A9" s="32">
        <v>7</v>
      </c>
      <c r="B9" s="32">
        <v>2020</v>
      </c>
      <c r="C9" s="40" t="s">
        <v>279</v>
      </c>
      <c r="D9" s="32">
        <v>12</v>
      </c>
      <c r="E9" s="32" t="s">
        <v>280</v>
      </c>
      <c r="F9" s="32" t="s">
        <v>281</v>
      </c>
      <c r="G9" s="32" t="s">
        <v>218</v>
      </c>
      <c r="H9" s="32" t="s">
        <v>282</v>
      </c>
      <c r="I9" s="32" t="s">
        <v>230</v>
      </c>
      <c r="J9" s="32" t="s">
        <v>263</v>
      </c>
      <c r="K9" s="32" t="s">
        <v>221</v>
      </c>
      <c r="L9" s="32" t="s">
        <v>283</v>
      </c>
      <c r="M9" s="32" t="s">
        <v>284</v>
      </c>
      <c r="N9" s="32" t="s">
        <v>285</v>
      </c>
      <c r="O9" s="36" t="s">
        <v>286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29.4" thickBot="1" x14ac:dyDescent="0.35">
      <c r="A10" s="32">
        <v>8</v>
      </c>
      <c r="B10" s="32">
        <v>2011</v>
      </c>
      <c r="C10" s="40" t="s">
        <v>287</v>
      </c>
      <c r="D10" s="32" t="s">
        <v>288</v>
      </c>
      <c r="E10" s="32" t="s">
        <v>230</v>
      </c>
      <c r="F10" s="32" t="s">
        <v>230</v>
      </c>
      <c r="G10" s="32" t="s">
        <v>218</v>
      </c>
      <c r="H10" s="32" t="s">
        <v>282</v>
      </c>
      <c r="I10" s="32" t="s">
        <v>230</v>
      </c>
      <c r="J10" s="32" t="s">
        <v>289</v>
      </c>
      <c r="K10" s="32" t="s">
        <v>253</v>
      </c>
      <c r="L10" s="32" t="s">
        <v>254</v>
      </c>
      <c r="M10" s="32" t="s">
        <v>255</v>
      </c>
      <c r="N10" s="32" t="s">
        <v>290</v>
      </c>
      <c r="O10" s="36" t="s">
        <v>291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43.8" thickBot="1" x14ac:dyDescent="0.35">
      <c r="A11" s="32">
        <v>9</v>
      </c>
      <c r="B11" s="32">
        <v>2014</v>
      </c>
      <c r="C11" s="34" t="s">
        <v>292</v>
      </c>
      <c r="D11" s="32" t="s">
        <v>293</v>
      </c>
      <c r="E11" s="32" t="s">
        <v>248</v>
      </c>
      <c r="F11" s="32" t="s">
        <v>249</v>
      </c>
      <c r="G11" s="32" t="s">
        <v>218</v>
      </c>
      <c r="H11" s="32" t="s">
        <v>282</v>
      </c>
      <c r="I11" s="32" t="s">
        <v>230</v>
      </c>
      <c r="J11" s="32" t="s">
        <v>263</v>
      </c>
      <c r="K11" s="32" t="s">
        <v>221</v>
      </c>
      <c r="L11" s="32" t="s">
        <v>294</v>
      </c>
      <c r="M11" s="32" t="s">
        <v>255</v>
      </c>
      <c r="N11" s="32" t="s">
        <v>295</v>
      </c>
      <c r="O11" s="36" t="s">
        <v>296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29.4" hidden="1" thickBot="1" x14ac:dyDescent="0.35">
      <c r="A12" s="32">
        <v>10</v>
      </c>
      <c r="B12" s="32">
        <v>2018</v>
      </c>
      <c r="C12" s="40" t="s">
        <v>230</v>
      </c>
      <c r="D12" s="32" t="s">
        <v>297</v>
      </c>
      <c r="E12" s="32" t="s">
        <v>298</v>
      </c>
      <c r="F12" s="32" t="s">
        <v>299</v>
      </c>
      <c r="G12" s="32" t="s">
        <v>218</v>
      </c>
      <c r="H12" s="32" t="s">
        <v>219</v>
      </c>
      <c r="I12" s="32" t="s">
        <v>300</v>
      </c>
      <c r="J12" s="32" t="s">
        <v>263</v>
      </c>
      <c r="K12" s="32" t="s">
        <v>221</v>
      </c>
      <c r="L12" s="32" t="s">
        <v>271</v>
      </c>
      <c r="M12" s="32" t="s">
        <v>301</v>
      </c>
      <c r="N12" s="32" t="s">
        <v>302</v>
      </c>
      <c r="O12" s="36" t="s">
        <v>303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9.4" hidden="1" thickBot="1" x14ac:dyDescent="0.35">
      <c r="A13" s="32">
        <v>11</v>
      </c>
      <c r="B13" s="32">
        <v>2017</v>
      </c>
      <c r="C13" s="41" t="s">
        <v>304</v>
      </c>
      <c r="D13" s="32" t="s">
        <v>305</v>
      </c>
      <c r="E13" s="32" t="s">
        <v>306</v>
      </c>
      <c r="F13" s="32" t="s">
        <v>307</v>
      </c>
      <c r="G13" s="32" t="s">
        <v>218</v>
      </c>
      <c r="H13" s="32" t="s">
        <v>219</v>
      </c>
      <c r="I13" s="32" t="s">
        <v>220</v>
      </c>
      <c r="J13" s="32" t="s">
        <v>263</v>
      </c>
      <c r="K13" s="32" t="s">
        <v>221</v>
      </c>
      <c r="L13" s="32" t="s">
        <v>271</v>
      </c>
      <c r="M13" s="32" t="s">
        <v>301</v>
      </c>
      <c r="N13" s="32" t="s">
        <v>308</v>
      </c>
      <c r="O13" s="36" t="s">
        <v>309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29.4" hidden="1" thickBot="1" x14ac:dyDescent="0.35">
      <c r="A14" s="32">
        <v>12</v>
      </c>
      <c r="B14" s="32">
        <v>2018</v>
      </c>
      <c r="C14" s="41" t="s">
        <v>310</v>
      </c>
      <c r="D14" s="32" t="s">
        <v>311</v>
      </c>
      <c r="E14" s="32" t="s">
        <v>312</v>
      </c>
      <c r="F14" s="32" t="s">
        <v>313</v>
      </c>
      <c r="G14" s="32" t="s">
        <v>218</v>
      </c>
      <c r="H14" s="32" t="s">
        <v>219</v>
      </c>
      <c r="I14" s="32" t="s">
        <v>300</v>
      </c>
      <c r="J14" s="32" t="s">
        <v>263</v>
      </c>
      <c r="K14" s="32" t="s">
        <v>221</v>
      </c>
      <c r="L14" s="32" t="s">
        <v>271</v>
      </c>
      <c r="M14" s="32" t="s">
        <v>301</v>
      </c>
      <c r="N14" s="32" t="s">
        <v>314</v>
      </c>
      <c r="O14" s="36" t="s">
        <v>315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29.4" hidden="1" thickBot="1" x14ac:dyDescent="0.35">
      <c r="A15" s="42">
        <v>13</v>
      </c>
      <c r="B15" s="42">
        <v>2021</v>
      </c>
      <c r="C15" s="42" t="s">
        <v>316</v>
      </c>
      <c r="D15" s="42" t="s">
        <v>317</v>
      </c>
      <c r="E15" s="42" t="s">
        <v>318</v>
      </c>
      <c r="F15" s="42" t="s">
        <v>319</v>
      </c>
      <c r="G15" s="42" t="s">
        <v>218</v>
      </c>
      <c r="H15" s="42" t="s">
        <v>219</v>
      </c>
      <c r="I15" s="42" t="s">
        <v>300</v>
      </c>
      <c r="J15" s="42" t="s">
        <v>263</v>
      </c>
      <c r="K15" s="42" t="s">
        <v>221</v>
      </c>
      <c r="L15" s="42" t="s">
        <v>271</v>
      </c>
      <c r="M15" s="42" t="s">
        <v>320</v>
      </c>
      <c r="N15" s="42" t="s">
        <v>321</v>
      </c>
      <c r="O15" s="43" t="s">
        <v>322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43.8" hidden="1" thickBot="1" x14ac:dyDescent="0.35">
      <c r="A16" s="32">
        <v>13</v>
      </c>
      <c r="B16" s="32">
        <v>2021</v>
      </c>
      <c r="C16" s="32" t="s">
        <v>323</v>
      </c>
      <c r="D16" s="32" t="s">
        <v>324</v>
      </c>
      <c r="E16" s="32" t="s">
        <v>325</v>
      </c>
      <c r="F16" s="32" t="s">
        <v>326</v>
      </c>
      <c r="G16" s="32" t="s">
        <v>327</v>
      </c>
      <c r="H16" s="32" t="s">
        <v>219</v>
      </c>
      <c r="I16" s="32" t="s">
        <v>328</v>
      </c>
      <c r="J16" s="32" t="s">
        <v>329</v>
      </c>
      <c r="K16" s="32" t="s">
        <v>221</v>
      </c>
      <c r="L16" s="32" t="s">
        <v>330</v>
      </c>
      <c r="M16" s="32" t="s">
        <v>301</v>
      </c>
      <c r="N16" s="32" t="s">
        <v>331</v>
      </c>
      <c r="O16" s="36" t="s">
        <v>332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43.8" hidden="1" thickBot="1" x14ac:dyDescent="0.35">
      <c r="A17" s="32">
        <v>14</v>
      </c>
      <c r="B17" s="32">
        <v>2019</v>
      </c>
      <c r="C17" s="44" t="s">
        <v>333</v>
      </c>
      <c r="D17" s="32" t="s">
        <v>334</v>
      </c>
      <c r="E17" s="32" t="s">
        <v>335</v>
      </c>
      <c r="F17" s="32" t="s">
        <v>336</v>
      </c>
      <c r="G17" s="32" t="s">
        <v>218</v>
      </c>
      <c r="H17" s="32" t="s">
        <v>219</v>
      </c>
      <c r="I17" s="32" t="s">
        <v>300</v>
      </c>
      <c r="J17" s="32" t="s">
        <v>219</v>
      </c>
      <c r="K17" s="32" t="s">
        <v>221</v>
      </c>
      <c r="L17" s="32" t="s">
        <v>337</v>
      </c>
      <c r="M17" s="32" t="s">
        <v>255</v>
      </c>
      <c r="N17" s="32" t="s">
        <v>338</v>
      </c>
      <c r="O17" s="36" t="s">
        <v>339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29.4" hidden="1" thickBot="1" x14ac:dyDescent="0.35">
      <c r="A18" s="32">
        <v>15</v>
      </c>
      <c r="B18" s="32">
        <v>2015</v>
      </c>
      <c r="C18" s="41" t="s">
        <v>340</v>
      </c>
      <c r="D18" s="32" t="s">
        <v>341</v>
      </c>
      <c r="E18" s="32" t="s">
        <v>230</v>
      </c>
      <c r="F18" s="32" t="s">
        <v>342</v>
      </c>
      <c r="G18" s="32" t="s">
        <v>250</v>
      </c>
      <c r="H18" s="32" t="s">
        <v>219</v>
      </c>
      <c r="I18" s="32" t="s">
        <v>220</v>
      </c>
      <c r="J18" s="32" t="s">
        <v>263</v>
      </c>
      <c r="K18" s="32" t="s">
        <v>253</v>
      </c>
      <c r="L18" s="32" t="s">
        <v>254</v>
      </c>
      <c r="M18" s="32" t="s">
        <v>255</v>
      </c>
      <c r="N18" s="32" t="s">
        <v>343</v>
      </c>
      <c r="O18" s="36" t="s">
        <v>344</v>
      </c>
      <c r="P18" s="37" t="s">
        <v>345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29.4" hidden="1" thickBot="1" x14ac:dyDescent="0.35">
      <c r="A19" s="32">
        <v>16</v>
      </c>
      <c r="B19" s="32">
        <v>2010</v>
      </c>
      <c r="C19" s="34" t="s">
        <v>346</v>
      </c>
      <c r="D19" s="32" t="s">
        <v>347</v>
      </c>
      <c r="E19" s="32" t="s">
        <v>348</v>
      </c>
      <c r="F19" s="32" t="s">
        <v>349</v>
      </c>
      <c r="G19" s="32" t="s">
        <v>218</v>
      </c>
      <c r="H19" s="32" t="s">
        <v>219</v>
      </c>
      <c r="I19" s="32" t="s">
        <v>220</v>
      </c>
      <c r="J19" s="32" t="s">
        <v>263</v>
      </c>
      <c r="K19" s="32" t="s">
        <v>221</v>
      </c>
      <c r="L19" s="32" t="s">
        <v>350</v>
      </c>
      <c r="M19" s="32" t="s">
        <v>255</v>
      </c>
      <c r="N19" s="32" t="s">
        <v>351</v>
      </c>
      <c r="O19" s="36" t="s">
        <v>352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29.4" hidden="1" thickBot="1" x14ac:dyDescent="0.35">
      <c r="A20" s="32">
        <v>17</v>
      </c>
      <c r="B20" s="32">
        <v>2021</v>
      </c>
      <c r="C20" s="32" t="s">
        <v>353</v>
      </c>
      <c r="D20" s="32" t="s">
        <v>354</v>
      </c>
      <c r="E20" s="32" t="s">
        <v>355</v>
      </c>
      <c r="F20" s="32" t="s">
        <v>356</v>
      </c>
      <c r="G20" s="32" t="s">
        <v>218</v>
      </c>
      <c r="H20" s="32" t="s">
        <v>219</v>
      </c>
      <c r="I20" s="32" t="s">
        <v>220</v>
      </c>
      <c r="J20" s="32" t="s">
        <v>263</v>
      </c>
      <c r="K20" s="32" t="s">
        <v>221</v>
      </c>
      <c r="L20" s="32" t="s">
        <v>264</v>
      </c>
      <c r="M20" s="32" t="s">
        <v>255</v>
      </c>
      <c r="N20" s="32" t="s">
        <v>357</v>
      </c>
      <c r="O20" s="36" t="s">
        <v>358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29.4" thickBot="1" x14ac:dyDescent="0.35">
      <c r="A21" s="32">
        <v>18</v>
      </c>
      <c r="B21" s="32">
        <v>2009</v>
      </c>
      <c r="C21" s="44" t="s">
        <v>359</v>
      </c>
      <c r="D21" s="32" t="s">
        <v>360</v>
      </c>
      <c r="E21" s="32" t="s">
        <v>361</v>
      </c>
      <c r="F21" s="32" t="s">
        <v>360</v>
      </c>
      <c r="G21" s="32" t="s">
        <v>218</v>
      </c>
      <c r="H21" s="32" t="s">
        <v>229</v>
      </c>
      <c r="I21" s="32" t="s">
        <v>230</v>
      </c>
      <c r="J21" s="32" t="s">
        <v>263</v>
      </c>
      <c r="K21" s="32" t="s">
        <v>221</v>
      </c>
      <c r="L21" s="51" t="s">
        <v>362</v>
      </c>
      <c r="M21" s="32" t="s">
        <v>255</v>
      </c>
      <c r="N21" s="32" t="s">
        <v>363</v>
      </c>
      <c r="O21" s="36" t="s">
        <v>364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29.4" hidden="1" thickBot="1" x14ac:dyDescent="0.35">
      <c r="A22" s="32">
        <v>19</v>
      </c>
      <c r="B22" s="32">
        <v>2015</v>
      </c>
      <c r="C22" s="41" t="s">
        <v>365</v>
      </c>
      <c r="D22" s="32" t="s">
        <v>366</v>
      </c>
      <c r="E22" s="32" t="s">
        <v>361</v>
      </c>
      <c r="F22" s="32" t="s">
        <v>367</v>
      </c>
      <c r="G22" s="32" t="s">
        <v>218</v>
      </c>
      <c r="H22" s="32" t="s">
        <v>219</v>
      </c>
      <c r="I22" s="32" t="s">
        <v>368</v>
      </c>
      <c r="J22" s="32" t="s">
        <v>219</v>
      </c>
      <c r="K22" s="32" t="s">
        <v>221</v>
      </c>
      <c r="L22" s="32" t="s">
        <v>271</v>
      </c>
      <c r="M22" s="32" t="s">
        <v>369</v>
      </c>
      <c r="N22" s="32" t="s">
        <v>370</v>
      </c>
      <c r="O22" s="36" t="s">
        <v>371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29.4" hidden="1" thickBot="1" x14ac:dyDescent="0.35">
      <c r="A23" s="42">
        <v>20</v>
      </c>
      <c r="B23" s="42">
        <v>2018</v>
      </c>
      <c r="C23" s="45" t="s">
        <v>372</v>
      </c>
      <c r="D23" s="42" t="s">
        <v>230</v>
      </c>
      <c r="E23" s="42" t="s">
        <v>373</v>
      </c>
      <c r="F23" s="42" t="s">
        <v>374</v>
      </c>
      <c r="G23" s="42" t="s">
        <v>218</v>
      </c>
      <c r="H23" s="42" t="s">
        <v>219</v>
      </c>
      <c r="I23" s="42" t="s">
        <v>220</v>
      </c>
      <c r="J23" s="42" t="s">
        <v>263</v>
      </c>
      <c r="K23" s="42" t="s">
        <v>221</v>
      </c>
      <c r="L23" s="42" t="s">
        <v>271</v>
      </c>
      <c r="M23" s="42" t="s">
        <v>255</v>
      </c>
      <c r="N23" s="42" t="s">
        <v>375</v>
      </c>
      <c r="O23" s="43" t="s">
        <v>376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72.599999999999994" hidden="1" thickBot="1" x14ac:dyDescent="0.35">
      <c r="A24" s="32">
        <v>21</v>
      </c>
      <c r="B24" s="32">
        <v>2020</v>
      </c>
      <c r="C24" s="32"/>
      <c r="D24" s="32" t="s">
        <v>377</v>
      </c>
      <c r="E24" s="32" t="s">
        <v>378</v>
      </c>
      <c r="F24" s="32" t="s">
        <v>379</v>
      </c>
      <c r="G24" s="32" t="s">
        <v>218</v>
      </c>
      <c r="H24" s="32" t="s">
        <v>219</v>
      </c>
      <c r="I24" s="32" t="s">
        <v>300</v>
      </c>
      <c r="J24" s="32" t="s">
        <v>380</v>
      </c>
      <c r="K24" s="42" t="s">
        <v>221</v>
      </c>
      <c r="L24" s="42" t="s">
        <v>271</v>
      </c>
      <c r="M24" s="32" t="s">
        <v>301</v>
      </c>
      <c r="N24" s="32" t="s">
        <v>381</v>
      </c>
      <c r="O24" s="36" t="s">
        <v>382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29.4" hidden="1" thickBot="1" x14ac:dyDescent="0.35">
      <c r="A25" s="32">
        <v>22</v>
      </c>
      <c r="B25" s="32">
        <v>2021</v>
      </c>
      <c r="C25" s="34" t="s">
        <v>383</v>
      </c>
      <c r="D25" s="32" t="s">
        <v>384</v>
      </c>
      <c r="E25" s="32">
        <v>154</v>
      </c>
      <c r="F25" s="32" t="s">
        <v>385</v>
      </c>
      <c r="G25" s="32" t="s">
        <v>218</v>
      </c>
      <c r="H25" s="32" t="s">
        <v>219</v>
      </c>
      <c r="I25" s="32" t="s">
        <v>386</v>
      </c>
      <c r="J25" s="32" t="s">
        <v>263</v>
      </c>
      <c r="K25" s="32" t="s">
        <v>221</v>
      </c>
      <c r="L25" s="32" t="s">
        <v>387</v>
      </c>
      <c r="M25" s="32" t="s">
        <v>301</v>
      </c>
      <c r="N25" s="32" t="s">
        <v>388</v>
      </c>
      <c r="O25" s="36" t="s">
        <v>389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29.4" hidden="1" thickBot="1" x14ac:dyDescent="0.35">
      <c r="A26" s="32">
        <v>22</v>
      </c>
      <c r="B26" s="32">
        <v>2021</v>
      </c>
      <c r="C26" s="34" t="s">
        <v>383</v>
      </c>
      <c r="D26" s="32" t="s">
        <v>390</v>
      </c>
      <c r="E26" s="32">
        <v>154</v>
      </c>
      <c r="F26" s="32" t="s">
        <v>385</v>
      </c>
      <c r="G26" s="32" t="s">
        <v>391</v>
      </c>
      <c r="H26" s="32" t="s">
        <v>219</v>
      </c>
      <c r="I26" s="32" t="s">
        <v>386</v>
      </c>
      <c r="J26" s="32" t="s">
        <v>263</v>
      </c>
      <c r="K26" s="32" t="s">
        <v>221</v>
      </c>
      <c r="L26" s="32" t="s">
        <v>392</v>
      </c>
      <c r="M26" s="32" t="s">
        <v>301</v>
      </c>
      <c r="N26" s="32" t="s">
        <v>388</v>
      </c>
      <c r="O26" s="36" t="s">
        <v>389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29.4" hidden="1" thickBot="1" x14ac:dyDescent="0.35">
      <c r="A27" s="42">
        <v>23</v>
      </c>
      <c r="B27" s="42">
        <v>2020</v>
      </c>
      <c r="C27" s="42" t="s">
        <v>393</v>
      </c>
      <c r="D27" s="42" t="s">
        <v>394</v>
      </c>
      <c r="E27" s="42" t="s">
        <v>395</v>
      </c>
      <c r="F27" s="42" t="s">
        <v>396</v>
      </c>
      <c r="G27" s="42" t="s">
        <v>218</v>
      </c>
      <c r="H27" s="42" t="s">
        <v>219</v>
      </c>
      <c r="I27" s="42" t="s">
        <v>386</v>
      </c>
      <c r="J27" s="42" t="s">
        <v>219</v>
      </c>
      <c r="K27" s="42" t="s">
        <v>221</v>
      </c>
      <c r="L27" s="42" t="s">
        <v>271</v>
      </c>
      <c r="M27" s="42" t="s">
        <v>397</v>
      </c>
      <c r="N27" s="42" t="s">
        <v>398</v>
      </c>
      <c r="O27" s="43" t="s">
        <v>399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9.4" hidden="1" thickBot="1" x14ac:dyDescent="0.35">
      <c r="A28" s="42">
        <v>24</v>
      </c>
      <c r="B28" s="42">
        <v>2021</v>
      </c>
      <c r="C28" s="42" t="s">
        <v>230</v>
      </c>
      <c r="D28" s="42" t="s">
        <v>400</v>
      </c>
      <c r="E28" s="42" t="s">
        <v>401</v>
      </c>
      <c r="F28" s="42" t="s">
        <v>402</v>
      </c>
      <c r="G28" s="42" t="s">
        <v>218</v>
      </c>
      <c r="H28" s="42" t="s">
        <v>219</v>
      </c>
      <c r="I28" s="42" t="s">
        <v>300</v>
      </c>
      <c r="J28" s="42" t="s">
        <v>263</v>
      </c>
      <c r="K28" s="42" t="s">
        <v>221</v>
      </c>
      <c r="L28" s="42" t="s">
        <v>271</v>
      </c>
      <c r="M28" s="42" t="s">
        <v>301</v>
      </c>
      <c r="N28" s="42" t="s">
        <v>403</v>
      </c>
      <c r="O28" s="43" t="s">
        <v>404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9.4" hidden="1" thickBot="1" x14ac:dyDescent="0.35">
      <c r="A29" s="42">
        <v>25</v>
      </c>
      <c r="B29" s="42">
        <v>2021</v>
      </c>
      <c r="C29" s="46" t="s">
        <v>405</v>
      </c>
      <c r="D29" s="42" t="s">
        <v>406</v>
      </c>
      <c r="E29" s="42" t="s">
        <v>407</v>
      </c>
      <c r="F29" s="42" t="s">
        <v>374</v>
      </c>
      <c r="G29" s="42" t="s">
        <v>218</v>
      </c>
      <c r="H29" s="42" t="s">
        <v>219</v>
      </c>
      <c r="I29" s="42" t="s">
        <v>300</v>
      </c>
      <c r="J29" s="42" t="s">
        <v>219</v>
      </c>
      <c r="K29" s="42" t="s">
        <v>221</v>
      </c>
      <c r="L29" s="42" t="s">
        <v>271</v>
      </c>
      <c r="M29" s="42" t="s">
        <v>301</v>
      </c>
      <c r="N29" s="42" t="s">
        <v>408</v>
      </c>
      <c r="O29" s="43" t="s">
        <v>409</v>
      </c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30.6" hidden="1" thickBot="1" x14ac:dyDescent="0.35">
      <c r="A30" s="42">
        <v>26</v>
      </c>
      <c r="B30" s="42">
        <v>2020</v>
      </c>
      <c r="C30" s="45" t="s">
        <v>410</v>
      </c>
      <c r="D30" s="42" t="s">
        <v>411</v>
      </c>
      <c r="E30" s="42" t="s">
        <v>412</v>
      </c>
      <c r="F30" s="42" t="s">
        <v>374</v>
      </c>
      <c r="G30" s="42" t="s">
        <v>218</v>
      </c>
      <c r="H30" s="42" t="s">
        <v>219</v>
      </c>
      <c r="I30" s="42" t="s">
        <v>300</v>
      </c>
      <c r="J30" s="42" t="s">
        <v>219</v>
      </c>
      <c r="K30" s="42" t="s">
        <v>221</v>
      </c>
      <c r="L30" s="42" t="s">
        <v>271</v>
      </c>
      <c r="M30" s="42" t="s">
        <v>397</v>
      </c>
      <c r="N30" s="42" t="s">
        <v>413</v>
      </c>
      <c r="O30" s="43" t="s">
        <v>414</v>
      </c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9.4" hidden="1" thickBot="1" x14ac:dyDescent="0.35">
      <c r="A31" s="32">
        <v>27</v>
      </c>
      <c r="B31" s="32">
        <v>2020</v>
      </c>
      <c r="C31" s="34" t="s">
        <v>415</v>
      </c>
      <c r="D31" s="32" t="s">
        <v>416</v>
      </c>
      <c r="E31" s="32" t="s">
        <v>417</v>
      </c>
      <c r="F31" s="32" t="s">
        <v>418</v>
      </c>
      <c r="G31" s="32" t="s">
        <v>218</v>
      </c>
      <c r="H31" s="32" t="s">
        <v>219</v>
      </c>
      <c r="I31" s="32" t="s">
        <v>300</v>
      </c>
      <c r="J31" s="32" t="s">
        <v>419</v>
      </c>
      <c r="K31" s="32" t="s">
        <v>221</v>
      </c>
      <c r="L31" s="32" t="s">
        <v>420</v>
      </c>
      <c r="M31" s="32" t="s">
        <v>421</v>
      </c>
      <c r="N31" s="32" t="s">
        <v>422</v>
      </c>
      <c r="O31" s="36" t="s">
        <v>423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29.4" hidden="1" thickBot="1" x14ac:dyDescent="0.35">
      <c r="A32" s="42">
        <v>28</v>
      </c>
      <c r="B32" s="42">
        <v>2014</v>
      </c>
      <c r="C32" s="47" t="s">
        <v>424</v>
      </c>
      <c r="D32" s="42" t="s">
        <v>230</v>
      </c>
      <c r="E32" s="42" t="s">
        <v>425</v>
      </c>
      <c r="F32" s="42" t="s">
        <v>374</v>
      </c>
      <c r="G32" s="42" t="s">
        <v>218</v>
      </c>
      <c r="H32" s="42" t="s">
        <v>219</v>
      </c>
      <c r="I32" s="42" t="s">
        <v>300</v>
      </c>
      <c r="J32" s="42" t="s">
        <v>219</v>
      </c>
      <c r="K32" s="42" t="s">
        <v>221</v>
      </c>
      <c r="L32" s="42" t="s">
        <v>426</v>
      </c>
      <c r="M32" s="42" t="s">
        <v>427</v>
      </c>
      <c r="N32" s="42" t="s">
        <v>428</v>
      </c>
      <c r="O32" s="42" t="s">
        <v>429</v>
      </c>
      <c r="P32" s="48" t="s">
        <v>430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9.4" thickBot="1" x14ac:dyDescent="0.35">
      <c r="A33" s="32">
        <v>29</v>
      </c>
      <c r="B33" s="32">
        <v>2018</v>
      </c>
      <c r="C33" s="34" t="s">
        <v>431</v>
      </c>
      <c r="D33" s="32" t="s">
        <v>432</v>
      </c>
      <c r="E33" s="32" t="s">
        <v>433</v>
      </c>
      <c r="F33" s="32" t="s">
        <v>374</v>
      </c>
      <c r="G33" s="32" t="s">
        <v>218</v>
      </c>
      <c r="H33" s="32" t="s">
        <v>229</v>
      </c>
      <c r="I33" s="32" t="s">
        <v>230</v>
      </c>
      <c r="J33" s="32" t="s">
        <v>219</v>
      </c>
      <c r="K33" s="32" t="s">
        <v>221</v>
      </c>
      <c r="L33" s="32" t="s">
        <v>434</v>
      </c>
      <c r="M33" s="32" t="s">
        <v>435</v>
      </c>
      <c r="N33" s="32" t="s">
        <v>436</v>
      </c>
      <c r="O33" s="36" t="s">
        <v>437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29.4" hidden="1" thickBot="1" x14ac:dyDescent="0.35">
      <c r="A34" s="32">
        <v>30</v>
      </c>
      <c r="B34" s="32">
        <v>2019</v>
      </c>
      <c r="C34" s="34" t="s">
        <v>438</v>
      </c>
      <c r="D34" s="32" t="s">
        <v>293</v>
      </c>
      <c r="E34" s="32" t="s">
        <v>439</v>
      </c>
      <c r="F34" s="32" t="s">
        <v>440</v>
      </c>
      <c r="G34" s="32" t="s">
        <v>218</v>
      </c>
      <c r="H34" s="32" t="s">
        <v>219</v>
      </c>
      <c r="I34" s="32" t="s">
        <v>300</v>
      </c>
      <c r="J34" s="32" t="s">
        <v>419</v>
      </c>
      <c r="K34" s="32" t="s">
        <v>221</v>
      </c>
      <c r="L34" s="32" t="s">
        <v>441</v>
      </c>
      <c r="M34" s="32" t="s">
        <v>442</v>
      </c>
      <c r="N34" s="32" t="s">
        <v>443</v>
      </c>
      <c r="O34" s="36" t="s">
        <v>444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29.4" hidden="1" thickBot="1" x14ac:dyDescent="0.35">
      <c r="A35" s="42">
        <v>31</v>
      </c>
      <c r="B35" s="42">
        <v>2021</v>
      </c>
      <c r="C35" s="49" t="s">
        <v>445</v>
      </c>
      <c r="D35" s="42" t="s">
        <v>446</v>
      </c>
      <c r="E35" s="42" t="s">
        <v>280</v>
      </c>
      <c r="F35" s="42" t="s">
        <v>374</v>
      </c>
      <c r="G35" s="42" t="s">
        <v>218</v>
      </c>
      <c r="H35" s="42" t="s">
        <v>219</v>
      </c>
      <c r="I35" s="42" t="s">
        <v>300</v>
      </c>
      <c r="J35" s="42" t="s">
        <v>263</v>
      </c>
      <c r="K35" s="42" t="s">
        <v>221</v>
      </c>
      <c r="L35" s="42" t="s">
        <v>271</v>
      </c>
      <c r="M35" s="42" t="s">
        <v>301</v>
      </c>
      <c r="N35" s="42" t="s">
        <v>447</v>
      </c>
      <c r="O35" s="43" t="s">
        <v>448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9.4" hidden="1" thickBot="1" x14ac:dyDescent="0.35">
      <c r="A36" s="42">
        <v>32</v>
      </c>
      <c r="B36" s="42">
        <v>2020</v>
      </c>
      <c r="C36" s="46" t="s">
        <v>405</v>
      </c>
      <c r="D36" s="42" t="s">
        <v>406</v>
      </c>
      <c r="E36" s="42" t="s">
        <v>407</v>
      </c>
      <c r="F36" s="42" t="s">
        <v>374</v>
      </c>
      <c r="G36" s="42" t="s">
        <v>218</v>
      </c>
      <c r="H36" s="42" t="s">
        <v>219</v>
      </c>
      <c r="I36" s="42" t="s">
        <v>300</v>
      </c>
      <c r="J36" s="42" t="s">
        <v>219</v>
      </c>
      <c r="K36" s="42" t="s">
        <v>221</v>
      </c>
      <c r="L36" s="42" t="s">
        <v>222</v>
      </c>
      <c r="M36" s="42" t="s">
        <v>301</v>
      </c>
      <c r="N36" s="42" t="s">
        <v>449</v>
      </c>
      <c r="O36" s="43" t="s">
        <v>450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9.4" thickBot="1" x14ac:dyDescent="0.35">
      <c r="A37" s="32">
        <v>33</v>
      </c>
      <c r="B37" s="32">
        <v>2020</v>
      </c>
      <c r="C37" s="32" t="s">
        <v>451</v>
      </c>
      <c r="D37" s="32" t="s">
        <v>452</v>
      </c>
      <c r="E37" s="32" t="s">
        <v>453</v>
      </c>
      <c r="F37" s="32" t="s">
        <v>374</v>
      </c>
      <c r="G37" s="32" t="s">
        <v>218</v>
      </c>
      <c r="H37" s="32" t="s">
        <v>229</v>
      </c>
      <c r="I37" s="32" t="s">
        <v>230</v>
      </c>
      <c r="J37" s="32" t="s">
        <v>263</v>
      </c>
      <c r="K37" s="32" t="s">
        <v>221</v>
      </c>
      <c r="L37" s="32" t="s">
        <v>454</v>
      </c>
      <c r="M37" s="32" t="s">
        <v>301</v>
      </c>
      <c r="N37" s="32" t="s">
        <v>455</v>
      </c>
      <c r="O37" s="36" t="s">
        <v>456</v>
      </c>
      <c r="P37" t="s">
        <v>457</v>
      </c>
      <c r="Q37" t="s">
        <v>458</v>
      </c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29.4" hidden="1" thickBot="1" x14ac:dyDescent="0.35">
      <c r="A38" s="42">
        <v>34</v>
      </c>
      <c r="B38" s="42">
        <v>2022</v>
      </c>
      <c r="C38" s="46" t="s">
        <v>459</v>
      </c>
      <c r="D38" s="42" t="s">
        <v>460</v>
      </c>
      <c r="E38" s="42" t="s">
        <v>461</v>
      </c>
      <c r="F38" s="42" t="s">
        <v>374</v>
      </c>
      <c r="G38" s="42" t="s">
        <v>218</v>
      </c>
      <c r="H38" s="42" t="s">
        <v>219</v>
      </c>
      <c r="I38" s="42" t="s">
        <v>300</v>
      </c>
      <c r="J38" s="42" t="s">
        <v>219</v>
      </c>
      <c r="K38" s="42" t="s">
        <v>221</v>
      </c>
      <c r="L38" s="42" t="s">
        <v>462</v>
      </c>
      <c r="M38" s="42" t="s">
        <v>463</v>
      </c>
      <c r="N38" s="42" t="s">
        <v>464</v>
      </c>
      <c r="O38" s="43" t="s">
        <v>465</v>
      </c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9.4" hidden="1" thickBot="1" x14ac:dyDescent="0.35">
      <c r="A39" s="32">
        <v>35</v>
      </c>
      <c r="B39" s="32">
        <v>2021</v>
      </c>
      <c r="C39" s="40" t="s">
        <v>466</v>
      </c>
      <c r="D39" s="32" t="s">
        <v>293</v>
      </c>
      <c r="E39" s="32" t="s">
        <v>467</v>
      </c>
      <c r="F39" s="37" t="s">
        <v>468</v>
      </c>
      <c r="G39" s="32"/>
      <c r="H39" s="32" t="s">
        <v>219</v>
      </c>
      <c r="I39" s="32" t="s">
        <v>300</v>
      </c>
      <c r="J39" s="32" t="s">
        <v>263</v>
      </c>
      <c r="K39" s="32" t="s">
        <v>221</v>
      </c>
      <c r="L39" s="32" t="s">
        <v>462</v>
      </c>
      <c r="M39" s="32" t="s">
        <v>369</v>
      </c>
      <c r="N39" s="32" t="s">
        <v>469</v>
      </c>
      <c r="O39" s="32" t="s">
        <v>470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29.4" hidden="1" thickBot="1" x14ac:dyDescent="0.35">
      <c r="A40" s="32">
        <v>36</v>
      </c>
      <c r="B40" s="32">
        <v>2021</v>
      </c>
      <c r="C40" s="32" t="s">
        <v>471</v>
      </c>
      <c r="D40" s="32" t="s">
        <v>324</v>
      </c>
      <c r="E40" s="32" t="s">
        <v>472</v>
      </c>
      <c r="F40" s="32" t="s">
        <v>473</v>
      </c>
      <c r="G40" s="32" t="s">
        <v>218</v>
      </c>
      <c r="H40" s="32" t="s">
        <v>219</v>
      </c>
      <c r="I40" s="32" t="s">
        <v>300</v>
      </c>
      <c r="J40" s="32" t="s">
        <v>220</v>
      </c>
      <c r="K40" s="32" t="s">
        <v>253</v>
      </c>
      <c r="L40" s="32" t="s">
        <v>254</v>
      </c>
      <c r="M40" s="32" t="s">
        <v>369</v>
      </c>
      <c r="N40" s="32" t="s">
        <v>258</v>
      </c>
      <c r="O40" s="32" t="s">
        <v>259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29.4" hidden="1" thickBot="1" x14ac:dyDescent="0.35">
      <c r="A41" s="32">
        <v>37</v>
      </c>
      <c r="B41" s="32">
        <v>2014</v>
      </c>
      <c r="C41" s="44" t="s">
        <v>474</v>
      </c>
      <c r="D41" s="32" t="s">
        <v>475</v>
      </c>
      <c r="E41" s="32" t="s">
        <v>476</v>
      </c>
      <c r="F41" s="32" t="s">
        <v>477</v>
      </c>
      <c r="G41" s="32" t="s">
        <v>250</v>
      </c>
      <c r="H41" s="32" t="s">
        <v>219</v>
      </c>
      <c r="I41" s="32" t="s">
        <v>478</v>
      </c>
      <c r="J41" s="32" t="s">
        <v>220</v>
      </c>
      <c r="K41" s="32" t="s">
        <v>253</v>
      </c>
      <c r="L41" s="32" t="s">
        <v>254</v>
      </c>
      <c r="M41" s="32" t="s">
        <v>479</v>
      </c>
      <c r="N41" s="32" t="s">
        <v>480</v>
      </c>
      <c r="O41" s="32" t="s">
        <v>481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43.8" hidden="1" thickBot="1" x14ac:dyDescent="0.35">
      <c r="A42" s="32">
        <v>38</v>
      </c>
      <c r="B42" s="32">
        <v>2019</v>
      </c>
      <c r="C42" s="40" t="s">
        <v>260</v>
      </c>
      <c r="D42" s="32" t="s">
        <v>482</v>
      </c>
      <c r="E42" s="32" t="s">
        <v>467</v>
      </c>
      <c r="F42" s="32" t="s">
        <v>249</v>
      </c>
      <c r="G42" s="32" t="s">
        <v>218</v>
      </c>
      <c r="H42" s="32" t="s">
        <v>219</v>
      </c>
      <c r="I42" s="32" t="s">
        <v>478</v>
      </c>
      <c r="J42" s="32" t="s">
        <v>263</v>
      </c>
      <c r="K42" s="32" t="s">
        <v>221</v>
      </c>
      <c r="L42" s="32" t="s">
        <v>264</v>
      </c>
      <c r="M42" s="32" t="s">
        <v>483</v>
      </c>
      <c r="N42" s="32" t="s">
        <v>265</v>
      </c>
      <c r="O42" s="32" t="s">
        <v>484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29.4" hidden="1" thickBot="1" x14ac:dyDescent="0.35">
      <c r="A43" s="32">
        <v>39</v>
      </c>
      <c r="B43" s="32">
        <v>2019</v>
      </c>
      <c r="C43" s="44" t="s">
        <v>474</v>
      </c>
      <c r="D43" s="32" t="s">
        <v>485</v>
      </c>
      <c r="E43" s="32" t="s">
        <v>486</v>
      </c>
      <c r="F43" s="32" t="s">
        <v>487</v>
      </c>
      <c r="G43" s="32" t="s">
        <v>250</v>
      </c>
      <c r="H43" s="32" t="s">
        <v>219</v>
      </c>
      <c r="I43" s="32" t="s">
        <v>478</v>
      </c>
      <c r="J43" s="32" t="s">
        <v>263</v>
      </c>
      <c r="K43" s="32" t="s">
        <v>221</v>
      </c>
      <c r="L43" s="32" t="s">
        <v>488</v>
      </c>
      <c r="M43" s="32" t="s">
        <v>301</v>
      </c>
      <c r="N43" s="32" t="s">
        <v>489</v>
      </c>
      <c r="O43" s="32" t="s">
        <v>490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30.6" hidden="1" thickBot="1" x14ac:dyDescent="0.35">
      <c r="A44" s="32">
        <v>40</v>
      </c>
      <c r="B44" s="32">
        <v>2019</v>
      </c>
      <c r="C44" s="40" t="s">
        <v>491</v>
      </c>
      <c r="D44" s="32" t="s">
        <v>492</v>
      </c>
      <c r="E44" s="32" t="s">
        <v>493</v>
      </c>
      <c r="F44" s="32" t="s">
        <v>494</v>
      </c>
      <c r="G44" s="32" t="s">
        <v>218</v>
      </c>
      <c r="H44" s="32" t="s">
        <v>219</v>
      </c>
      <c r="I44" s="32" t="s">
        <v>300</v>
      </c>
      <c r="J44" s="32" t="s">
        <v>263</v>
      </c>
      <c r="K44" s="32" t="s">
        <v>221</v>
      </c>
      <c r="L44" s="32" t="s">
        <v>495</v>
      </c>
      <c r="M44" s="32" t="s">
        <v>479</v>
      </c>
      <c r="N44" s="32" t="s">
        <v>496</v>
      </c>
      <c r="O44" s="32" t="s">
        <v>497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" hidden="1" thickBot="1" x14ac:dyDescent="0.35">
      <c r="A45" s="32">
        <v>41</v>
      </c>
      <c r="B45" s="32">
        <v>2018</v>
      </c>
      <c r="C45" s="44" t="s">
        <v>498</v>
      </c>
      <c r="D45" s="32" t="s">
        <v>230</v>
      </c>
      <c r="E45" s="32" t="s">
        <v>230</v>
      </c>
      <c r="F45" s="32" t="s">
        <v>230</v>
      </c>
      <c r="G45" s="32" t="s">
        <v>250</v>
      </c>
      <c r="H45" s="32" t="s">
        <v>219</v>
      </c>
      <c r="I45" s="32" t="s">
        <v>478</v>
      </c>
      <c r="J45" s="32" t="s">
        <v>263</v>
      </c>
      <c r="K45" s="32" t="s">
        <v>253</v>
      </c>
      <c r="L45" s="32" t="s">
        <v>254</v>
      </c>
      <c r="M45" s="32" t="s">
        <v>479</v>
      </c>
      <c r="N45" s="32" t="s">
        <v>499</v>
      </c>
      <c r="O45" s="32" t="s">
        <v>500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29.4" hidden="1" thickBot="1" x14ac:dyDescent="0.35">
      <c r="A46" s="32">
        <v>42</v>
      </c>
      <c r="B46" s="32">
        <v>2022</v>
      </c>
      <c r="C46" s="40" t="s">
        <v>501</v>
      </c>
      <c r="D46" s="32" t="s">
        <v>502</v>
      </c>
      <c r="E46" s="32" t="s">
        <v>503</v>
      </c>
      <c r="F46" s="32" t="s">
        <v>504</v>
      </c>
      <c r="G46" s="32" t="s">
        <v>218</v>
      </c>
      <c r="H46" s="32" t="s">
        <v>219</v>
      </c>
      <c r="I46" s="32" t="s">
        <v>505</v>
      </c>
      <c r="J46" s="32" t="s">
        <v>263</v>
      </c>
      <c r="K46" s="32" t="s">
        <v>221</v>
      </c>
      <c r="L46" s="32" t="s">
        <v>462</v>
      </c>
      <c r="M46" s="32" t="s">
        <v>301</v>
      </c>
      <c r="N46" s="32" t="s">
        <v>506</v>
      </c>
      <c r="O46" s="36" t="s">
        <v>507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" thickBot="1" x14ac:dyDescent="0.3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" thickBot="1" x14ac:dyDescent="0.3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" thickBot="1" x14ac:dyDescent="0.3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" thickBot="1" x14ac:dyDescent="0.3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" thickBot="1" x14ac:dyDescent="0.3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" thickBot="1" x14ac:dyDescent="0.3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" thickBot="1" x14ac:dyDescent="0.3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" thickBot="1" x14ac:dyDescent="0.3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" thickBot="1" x14ac:dyDescent="0.3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" thickBot="1" x14ac:dyDescent="0.3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" thickBot="1" x14ac:dyDescent="0.3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" thickBot="1" x14ac:dyDescent="0.3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" thickBot="1" x14ac:dyDescent="0.3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" thickBot="1" x14ac:dyDescent="0.3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" thickBot="1" x14ac:dyDescent="0.3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" thickBot="1" x14ac:dyDescent="0.3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" thickBot="1" x14ac:dyDescent="0.3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" thickBot="1" x14ac:dyDescent="0.3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" thickBot="1" x14ac:dyDescent="0.3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" thickBot="1" x14ac:dyDescent="0.3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" thickBot="1" x14ac:dyDescent="0.3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thickBot="1" x14ac:dyDescent="0.3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" thickBot="1" x14ac:dyDescent="0.3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" thickBot="1" x14ac:dyDescent="0.3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" thickBot="1" x14ac:dyDescent="0.3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" thickBot="1" x14ac:dyDescent="0.3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" thickBot="1" x14ac:dyDescent="0.3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" thickBot="1" x14ac:dyDescent="0.3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" thickBot="1" x14ac:dyDescent="0.3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" thickBot="1" x14ac:dyDescent="0.3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" thickBot="1" x14ac:dyDescent="0.3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" thickBot="1" x14ac:dyDescent="0.3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" thickBot="1" x14ac:dyDescent="0.3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" thickBot="1" x14ac:dyDescent="0.3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" thickBot="1" x14ac:dyDescent="0.3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" thickBot="1" x14ac:dyDescent="0.3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" thickBot="1" x14ac:dyDescent="0.3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" thickBot="1" x14ac:dyDescent="0.3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" thickBot="1" x14ac:dyDescent="0.3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" thickBot="1" x14ac:dyDescent="0.3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" thickBot="1" x14ac:dyDescent="0.3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" thickBot="1" x14ac:dyDescent="0.3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" thickBot="1" x14ac:dyDescent="0.3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" thickBot="1" x14ac:dyDescent="0.3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" thickBot="1" x14ac:dyDescent="0.3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" thickBot="1" x14ac:dyDescent="0.3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" thickBot="1" x14ac:dyDescent="0.3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" thickBot="1" x14ac:dyDescent="0.3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" thickBot="1" x14ac:dyDescent="0.3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" thickBot="1" x14ac:dyDescent="0.3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" thickBot="1" x14ac:dyDescent="0.3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" thickBot="1" x14ac:dyDescent="0.3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" thickBot="1" x14ac:dyDescent="0.3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" thickBot="1" x14ac:dyDescent="0.3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" thickBot="1" x14ac:dyDescent="0.3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" thickBot="1" x14ac:dyDescent="0.3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" thickBot="1" x14ac:dyDescent="0.3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" thickBot="1" x14ac:dyDescent="0.3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" thickBot="1" x14ac:dyDescent="0.3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" thickBot="1" x14ac:dyDescent="0.3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" thickBot="1" x14ac:dyDescent="0.3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" thickBot="1" x14ac:dyDescent="0.3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" thickBot="1" x14ac:dyDescent="0.3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" thickBot="1" x14ac:dyDescent="0.3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" thickBot="1" x14ac:dyDescent="0.3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" thickBot="1" x14ac:dyDescent="0.3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" thickBot="1" x14ac:dyDescent="0.3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" thickBot="1" x14ac:dyDescent="0.3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" thickBot="1" x14ac:dyDescent="0.3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" thickBot="1" x14ac:dyDescent="0.3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" thickBot="1" x14ac:dyDescent="0.3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" thickBot="1" x14ac:dyDescent="0.3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" thickBot="1" x14ac:dyDescent="0.3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" thickBot="1" x14ac:dyDescent="0.3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" thickBot="1" x14ac:dyDescent="0.3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" thickBot="1" x14ac:dyDescent="0.3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" thickBot="1" x14ac:dyDescent="0.3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" thickBot="1" x14ac:dyDescent="0.3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" thickBot="1" x14ac:dyDescent="0.3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" thickBot="1" x14ac:dyDescent="0.3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" thickBot="1" x14ac:dyDescent="0.3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" thickBot="1" x14ac:dyDescent="0.3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" thickBot="1" x14ac:dyDescent="0.3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" thickBot="1" x14ac:dyDescent="0.3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" thickBot="1" x14ac:dyDescent="0.3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" thickBot="1" x14ac:dyDescent="0.3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" thickBot="1" x14ac:dyDescent="0.3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" thickBot="1" x14ac:dyDescent="0.3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" thickBot="1" x14ac:dyDescent="0.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" thickBot="1" x14ac:dyDescent="0.3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" thickBot="1" x14ac:dyDescent="0.3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" thickBot="1" x14ac:dyDescent="0.3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" thickBot="1" x14ac:dyDescent="0.3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" thickBot="1" x14ac:dyDescent="0.3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" thickBot="1" x14ac:dyDescent="0.3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" thickBot="1" x14ac:dyDescent="0.3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" thickBot="1" x14ac:dyDescent="0.3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" thickBot="1" x14ac:dyDescent="0.3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" thickBot="1" x14ac:dyDescent="0.3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" thickBot="1" x14ac:dyDescent="0.3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" thickBot="1" x14ac:dyDescent="0.3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" thickBot="1" x14ac:dyDescent="0.3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" thickBot="1" x14ac:dyDescent="0.3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" thickBot="1" x14ac:dyDescent="0.3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" thickBot="1" x14ac:dyDescent="0.3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" thickBot="1" x14ac:dyDescent="0.3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" thickBot="1" x14ac:dyDescent="0.3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" thickBot="1" x14ac:dyDescent="0.3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" thickBot="1" x14ac:dyDescent="0.3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" thickBot="1" x14ac:dyDescent="0.3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" thickBot="1" x14ac:dyDescent="0.3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" thickBot="1" x14ac:dyDescent="0.3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" thickBot="1" x14ac:dyDescent="0.3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" thickBot="1" x14ac:dyDescent="0.3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" thickBot="1" x14ac:dyDescent="0.3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" thickBot="1" x14ac:dyDescent="0.3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" thickBot="1" x14ac:dyDescent="0.3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" thickBot="1" x14ac:dyDescent="0.3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" thickBot="1" x14ac:dyDescent="0.3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" thickBot="1" x14ac:dyDescent="0.3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" thickBot="1" x14ac:dyDescent="0.3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" thickBot="1" x14ac:dyDescent="0.3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" thickBot="1" x14ac:dyDescent="0.3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" thickBot="1" x14ac:dyDescent="0.3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" thickBot="1" x14ac:dyDescent="0.3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" thickBot="1" x14ac:dyDescent="0.3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" thickBot="1" x14ac:dyDescent="0.3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" thickBot="1" x14ac:dyDescent="0.3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" thickBot="1" x14ac:dyDescent="0.3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" thickBot="1" x14ac:dyDescent="0.3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" thickBot="1" x14ac:dyDescent="0.3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" thickBot="1" x14ac:dyDescent="0.3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" thickBot="1" x14ac:dyDescent="0.3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" thickBot="1" x14ac:dyDescent="0.3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" thickBot="1" x14ac:dyDescent="0.3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" thickBot="1" x14ac:dyDescent="0.3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" thickBot="1" x14ac:dyDescent="0.3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" thickBot="1" x14ac:dyDescent="0.3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" thickBot="1" x14ac:dyDescent="0.3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" thickBot="1" x14ac:dyDescent="0.3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" thickBot="1" x14ac:dyDescent="0.3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" thickBot="1" x14ac:dyDescent="0.3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" thickBot="1" x14ac:dyDescent="0.3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" thickBot="1" x14ac:dyDescent="0.3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" thickBot="1" x14ac:dyDescent="0.3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" thickBot="1" x14ac:dyDescent="0.3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" thickBot="1" x14ac:dyDescent="0.3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" thickBot="1" x14ac:dyDescent="0.3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" thickBot="1" x14ac:dyDescent="0.3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" thickBot="1" x14ac:dyDescent="0.3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" thickBot="1" x14ac:dyDescent="0.3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" thickBot="1" x14ac:dyDescent="0.3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" thickBot="1" x14ac:dyDescent="0.3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" thickBot="1" x14ac:dyDescent="0.3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" thickBot="1" x14ac:dyDescent="0.3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" thickBot="1" x14ac:dyDescent="0.3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" thickBot="1" x14ac:dyDescent="0.3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" thickBot="1" x14ac:dyDescent="0.3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" thickBot="1" x14ac:dyDescent="0.3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" thickBot="1" x14ac:dyDescent="0.3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" thickBot="1" x14ac:dyDescent="0.3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" thickBot="1" x14ac:dyDescent="0.3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" thickBot="1" x14ac:dyDescent="0.3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" thickBot="1" x14ac:dyDescent="0.3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" thickBot="1" x14ac:dyDescent="0.3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" thickBot="1" x14ac:dyDescent="0.3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" thickBot="1" x14ac:dyDescent="0.3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" thickBot="1" x14ac:dyDescent="0.3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" thickBot="1" x14ac:dyDescent="0.3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" thickBot="1" x14ac:dyDescent="0.3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" thickBot="1" x14ac:dyDescent="0.3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" thickBot="1" x14ac:dyDescent="0.3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" thickBot="1" x14ac:dyDescent="0.3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" thickBot="1" x14ac:dyDescent="0.3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" thickBot="1" x14ac:dyDescent="0.3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" thickBot="1" x14ac:dyDescent="0.3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" thickBot="1" x14ac:dyDescent="0.3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" thickBot="1" x14ac:dyDescent="0.3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" thickBot="1" x14ac:dyDescent="0.3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" thickBot="1" x14ac:dyDescent="0.3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" thickBot="1" x14ac:dyDescent="0.3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" thickBot="1" x14ac:dyDescent="0.3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" thickBot="1" x14ac:dyDescent="0.3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" thickBot="1" x14ac:dyDescent="0.3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" thickBot="1" x14ac:dyDescent="0.3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" thickBot="1" x14ac:dyDescent="0.3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" thickBot="1" x14ac:dyDescent="0.3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" thickBot="1" x14ac:dyDescent="0.3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" thickBot="1" x14ac:dyDescent="0.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" thickBot="1" x14ac:dyDescent="0.3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" thickBot="1" x14ac:dyDescent="0.3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" thickBot="1" x14ac:dyDescent="0.3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" thickBot="1" x14ac:dyDescent="0.3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" thickBot="1" x14ac:dyDescent="0.3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" thickBot="1" x14ac:dyDescent="0.3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" thickBot="1" x14ac:dyDescent="0.3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" thickBot="1" x14ac:dyDescent="0.3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" thickBot="1" x14ac:dyDescent="0.3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" thickBot="1" x14ac:dyDescent="0.3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" thickBot="1" x14ac:dyDescent="0.3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" thickBot="1" x14ac:dyDescent="0.3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" thickBot="1" x14ac:dyDescent="0.3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" thickBot="1" x14ac:dyDescent="0.3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" thickBot="1" x14ac:dyDescent="0.3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" thickBot="1" x14ac:dyDescent="0.3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" thickBot="1" x14ac:dyDescent="0.3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" thickBot="1" x14ac:dyDescent="0.3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" thickBot="1" x14ac:dyDescent="0.3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" thickBot="1" x14ac:dyDescent="0.3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" thickBot="1" x14ac:dyDescent="0.3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" thickBot="1" x14ac:dyDescent="0.3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" thickBot="1" x14ac:dyDescent="0.3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" thickBot="1" x14ac:dyDescent="0.3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" thickBot="1" x14ac:dyDescent="0.3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" thickBot="1" x14ac:dyDescent="0.3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" thickBot="1" x14ac:dyDescent="0.3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" thickBot="1" x14ac:dyDescent="0.3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" thickBot="1" x14ac:dyDescent="0.3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" thickBot="1" x14ac:dyDescent="0.3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" thickBot="1" x14ac:dyDescent="0.3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" thickBot="1" x14ac:dyDescent="0.3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" thickBot="1" x14ac:dyDescent="0.3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" thickBot="1" x14ac:dyDescent="0.3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" thickBot="1" x14ac:dyDescent="0.3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" thickBot="1" x14ac:dyDescent="0.3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" thickBot="1" x14ac:dyDescent="0.3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" thickBot="1" x14ac:dyDescent="0.3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" thickBot="1" x14ac:dyDescent="0.3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" thickBot="1" x14ac:dyDescent="0.3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" thickBot="1" x14ac:dyDescent="0.3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" thickBot="1" x14ac:dyDescent="0.3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" thickBot="1" x14ac:dyDescent="0.3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" thickBot="1" x14ac:dyDescent="0.3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" thickBot="1" x14ac:dyDescent="0.3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" thickBot="1" x14ac:dyDescent="0.3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" thickBot="1" x14ac:dyDescent="0.3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" thickBot="1" x14ac:dyDescent="0.3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" thickBot="1" x14ac:dyDescent="0.3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" thickBot="1" x14ac:dyDescent="0.3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" thickBot="1" x14ac:dyDescent="0.3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" thickBot="1" x14ac:dyDescent="0.3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" thickBot="1" x14ac:dyDescent="0.3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" thickBot="1" x14ac:dyDescent="0.3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" thickBot="1" x14ac:dyDescent="0.3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" thickBot="1" x14ac:dyDescent="0.3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" thickBot="1" x14ac:dyDescent="0.3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" thickBot="1" x14ac:dyDescent="0.3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" thickBot="1" x14ac:dyDescent="0.3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" thickBot="1" x14ac:dyDescent="0.3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" thickBot="1" x14ac:dyDescent="0.3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" thickBot="1" x14ac:dyDescent="0.3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" thickBot="1" x14ac:dyDescent="0.3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" thickBot="1" x14ac:dyDescent="0.3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" thickBot="1" x14ac:dyDescent="0.3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" thickBot="1" x14ac:dyDescent="0.3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" thickBot="1" x14ac:dyDescent="0.3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" thickBot="1" x14ac:dyDescent="0.3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" thickBot="1" x14ac:dyDescent="0.3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" thickBot="1" x14ac:dyDescent="0.3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" thickBot="1" x14ac:dyDescent="0.3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" thickBot="1" x14ac:dyDescent="0.3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" thickBot="1" x14ac:dyDescent="0.3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" thickBot="1" x14ac:dyDescent="0.3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" thickBot="1" x14ac:dyDescent="0.3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" thickBot="1" x14ac:dyDescent="0.3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" thickBot="1" x14ac:dyDescent="0.3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" thickBot="1" x14ac:dyDescent="0.3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" thickBot="1" x14ac:dyDescent="0.3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" thickBot="1" x14ac:dyDescent="0.3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" thickBot="1" x14ac:dyDescent="0.3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" thickBot="1" x14ac:dyDescent="0.3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" thickBot="1" x14ac:dyDescent="0.3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" thickBot="1" x14ac:dyDescent="0.3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" thickBot="1" x14ac:dyDescent="0.3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" thickBot="1" x14ac:dyDescent="0.3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" thickBot="1" x14ac:dyDescent="0.3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" thickBot="1" x14ac:dyDescent="0.3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" thickBot="1" x14ac:dyDescent="0.3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" thickBot="1" x14ac:dyDescent="0.3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" thickBot="1" x14ac:dyDescent="0.3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" thickBot="1" x14ac:dyDescent="0.3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" thickBot="1" x14ac:dyDescent="0.3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" thickBot="1" x14ac:dyDescent="0.3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" thickBot="1" x14ac:dyDescent="0.3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" thickBot="1" x14ac:dyDescent="0.3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" thickBot="1" x14ac:dyDescent="0.3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" thickBot="1" x14ac:dyDescent="0.3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" thickBot="1" x14ac:dyDescent="0.3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" thickBot="1" x14ac:dyDescent="0.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" thickBot="1" x14ac:dyDescent="0.3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" thickBot="1" x14ac:dyDescent="0.3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" thickBot="1" x14ac:dyDescent="0.3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" thickBot="1" x14ac:dyDescent="0.3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" thickBot="1" x14ac:dyDescent="0.3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" thickBot="1" x14ac:dyDescent="0.3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" thickBot="1" x14ac:dyDescent="0.3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" thickBot="1" x14ac:dyDescent="0.3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" thickBot="1" x14ac:dyDescent="0.3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" thickBot="1" x14ac:dyDescent="0.3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" thickBot="1" x14ac:dyDescent="0.3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" thickBot="1" x14ac:dyDescent="0.3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" thickBot="1" x14ac:dyDescent="0.3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" thickBot="1" x14ac:dyDescent="0.3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" thickBot="1" x14ac:dyDescent="0.3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" thickBot="1" x14ac:dyDescent="0.3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" thickBot="1" x14ac:dyDescent="0.3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" thickBot="1" x14ac:dyDescent="0.3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" thickBot="1" x14ac:dyDescent="0.3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" thickBot="1" x14ac:dyDescent="0.3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" thickBot="1" x14ac:dyDescent="0.3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" thickBot="1" x14ac:dyDescent="0.3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" thickBot="1" x14ac:dyDescent="0.3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" thickBot="1" x14ac:dyDescent="0.3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" thickBot="1" x14ac:dyDescent="0.3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" thickBot="1" x14ac:dyDescent="0.3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" thickBot="1" x14ac:dyDescent="0.3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" thickBot="1" x14ac:dyDescent="0.3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" thickBot="1" x14ac:dyDescent="0.3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" thickBot="1" x14ac:dyDescent="0.3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" thickBot="1" x14ac:dyDescent="0.3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" thickBot="1" x14ac:dyDescent="0.3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" thickBot="1" x14ac:dyDescent="0.3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" thickBot="1" x14ac:dyDescent="0.3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" thickBot="1" x14ac:dyDescent="0.3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" thickBot="1" x14ac:dyDescent="0.3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" thickBot="1" x14ac:dyDescent="0.3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" thickBot="1" x14ac:dyDescent="0.3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" thickBot="1" x14ac:dyDescent="0.3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" thickBot="1" x14ac:dyDescent="0.3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" thickBot="1" x14ac:dyDescent="0.3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" thickBot="1" x14ac:dyDescent="0.3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" thickBot="1" x14ac:dyDescent="0.3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" thickBot="1" x14ac:dyDescent="0.3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" thickBot="1" x14ac:dyDescent="0.3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" thickBot="1" x14ac:dyDescent="0.3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" thickBot="1" x14ac:dyDescent="0.3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" thickBot="1" x14ac:dyDescent="0.3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" thickBot="1" x14ac:dyDescent="0.3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" thickBot="1" x14ac:dyDescent="0.3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" thickBot="1" x14ac:dyDescent="0.3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" thickBot="1" x14ac:dyDescent="0.3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" thickBot="1" x14ac:dyDescent="0.3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" thickBot="1" x14ac:dyDescent="0.3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" thickBot="1" x14ac:dyDescent="0.3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" thickBot="1" x14ac:dyDescent="0.3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" thickBot="1" x14ac:dyDescent="0.3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" thickBot="1" x14ac:dyDescent="0.3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" thickBot="1" x14ac:dyDescent="0.3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" thickBot="1" x14ac:dyDescent="0.3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" thickBot="1" x14ac:dyDescent="0.3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" thickBot="1" x14ac:dyDescent="0.3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" thickBot="1" x14ac:dyDescent="0.3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" thickBot="1" x14ac:dyDescent="0.3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" thickBot="1" x14ac:dyDescent="0.3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" thickBot="1" x14ac:dyDescent="0.3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" thickBot="1" x14ac:dyDescent="0.3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" thickBot="1" x14ac:dyDescent="0.3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" thickBot="1" x14ac:dyDescent="0.3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" thickBot="1" x14ac:dyDescent="0.3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" thickBot="1" x14ac:dyDescent="0.3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" thickBot="1" x14ac:dyDescent="0.3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" thickBot="1" x14ac:dyDescent="0.3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" thickBot="1" x14ac:dyDescent="0.3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" thickBot="1" x14ac:dyDescent="0.3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" thickBot="1" x14ac:dyDescent="0.3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" thickBot="1" x14ac:dyDescent="0.3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" thickBot="1" x14ac:dyDescent="0.3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" thickBot="1" x14ac:dyDescent="0.3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" thickBot="1" x14ac:dyDescent="0.3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" thickBot="1" x14ac:dyDescent="0.3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" thickBot="1" x14ac:dyDescent="0.3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" thickBot="1" x14ac:dyDescent="0.3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" thickBot="1" x14ac:dyDescent="0.3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" thickBot="1" x14ac:dyDescent="0.3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" thickBot="1" x14ac:dyDescent="0.3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" thickBot="1" x14ac:dyDescent="0.3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" thickBot="1" x14ac:dyDescent="0.3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" thickBot="1" x14ac:dyDescent="0.3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" thickBot="1" x14ac:dyDescent="0.3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" thickBot="1" x14ac:dyDescent="0.3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" thickBot="1" x14ac:dyDescent="0.3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" thickBot="1" x14ac:dyDescent="0.3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" thickBot="1" x14ac:dyDescent="0.3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" thickBot="1" x14ac:dyDescent="0.3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" thickBot="1" x14ac:dyDescent="0.3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" thickBot="1" x14ac:dyDescent="0.3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" thickBot="1" x14ac:dyDescent="0.3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" thickBot="1" x14ac:dyDescent="0.3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" thickBot="1" x14ac:dyDescent="0.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" thickBot="1" x14ac:dyDescent="0.3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" thickBot="1" x14ac:dyDescent="0.3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" thickBot="1" x14ac:dyDescent="0.3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" thickBot="1" x14ac:dyDescent="0.3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" thickBot="1" x14ac:dyDescent="0.3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" thickBot="1" x14ac:dyDescent="0.3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" thickBot="1" x14ac:dyDescent="0.3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" thickBot="1" x14ac:dyDescent="0.3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" thickBot="1" x14ac:dyDescent="0.3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" thickBot="1" x14ac:dyDescent="0.3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" thickBot="1" x14ac:dyDescent="0.3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" thickBot="1" x14ac:dyDescent="0.3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" thickBot="1" x14ac:dyDescent="0.3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" thickBot="1" x14ac:dyDescent="0.3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" thickBot="1" x14ac:dyDescent="0.3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" thickBot="1" x14ac:dyDescent="0.3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" thickBot="1" x14ac:dyDescent="0.3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" thickBot="1" x14ac:dyDescent="0.3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" thickBot="1" x14ac:dyDescent="0.3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" thickBot="1" x14ac:dyDescent="0.3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" thickBot="1" x14ac:dyDescent="0.3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" thickBot="1" x14ac:dyDescent="0.3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" thickBot="1" x14ac:dyDescent="0.3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" thickBot="1" x14ac:dyDescent="0.3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" thickBot="1" x14ac:dyDescent="0.3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" thickBot="1" x14ac:dyDescent="0.3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" thickBot="1" x14ac:dyDescent="0.3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" thickBot="1" x14ac:dyDescent="0.3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" thickBot="1" x14ac:dyDescent="0.3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" thickBot="1" x14ac:dyDescent="0.3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" thickBot="1" x14ac:dyDescent="0.3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" thickBot="1" x14ac:dyDescent="0.3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" thickBot="1" x14ac:dyDescent="0.3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" thickBot="1" x14ac:dyDescent="0.3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" thickBot="1" x14ac:dyDescent="0.3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" thickBot="1" x14ac:dyDescent="0.3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" thickBot="1" x14ac:dyDescent="0.3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" thickBot="1" x14ac:dyDescent="0.3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" thickBot="1" x14ac:dyDescent="0.3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" thickBot="1" x14ac:dyDescent="0.3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" thickBot="1" x14ac:dyDescent="0.3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" thickBot="1" x14ac:dyDescent="0.3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" thickBot="1" x14ac:dyDescent="0.3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" thickBot="1" x14ac:dyDescent="0.3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" thickBot="1" x14ac:dyDescent="0.3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" thickBot="1" x14ac:dyDescent="0.3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" thickBot="1" x14ac:dyDescent="0.3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" thickBot="1" x14ac:dyDescent="0.3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" thickBot="1" x14ac:dyDescent="0.3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" thickBot="1" x14ac:dyDescent="0.3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" thickBot="1" x14ac:dyDescent="0.3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" thickBot="1" x14ac:dyDescent="0.3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" thickBot="1" x14ac:dyDescent="0.3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" thickBot="1" x14ac:dyDescent="0.3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" thickBot="1" x14ac:dyDescent="0.3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" thickBot="1" x14ac:dyDescent="0.3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" thickBot="1" x14ac:dyDescent="0.3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" thickBot="1" x14ac:dyDescent="0.3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" thickBot="1" x14ac:dyDescent="0.3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" thickBot="1" x14ac:dyDescent="0.3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" thickBot="1" x14ac:dyDescent="0.3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" thickBot="1" x14ac:dyDescent="0.3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" thickBot="1" x14ac:dyDescent="0.3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" thickBot="1" x14ac:dyDescent="0.3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" thickBot="1" x14ac:dyDescent="0.3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" thickBot="1" x14ac:dyDescent="0.3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" thickBot="1" x14ac:dyDescent="0.3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" thickBot="1" x14ac:dyDescent="0.3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" thickBot="1" x14ac:dyDescent="0.3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" thickBot="1" x14ac:dyDescent="0.3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" thickBot="1" x14ac:dyDescent="0.3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" thickBot="1" x14ac:dyDescent="0.3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" thickBot="1" x14ac:dyDescent="0.3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" thickBot="1" x14ac:dyDescent="0.3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" thickBot="1" x14ac:dyDescent="0.3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" thickBot="1" x14ac:dyDescent="0.3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" thickBot="1" x14ac:dyDescent="0.3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" thickBot="1" x14ac:dyDescent="0.3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" thickBot="1" x14ac:dyDescent="0.3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" thickBot="1" x14ac:dyDescent="0.3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" thickBot="1" x14ac:dyDescent="0.3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" thickBot="1" x14ac:dyDescent="0.3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" thickBot="1" x14ac:dyDescent="0.3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" thickBot="1" x14ac:dyDescent="0.3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" thickBot="1" x14ac:dyDescent="0.3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" thickBot="1" x14ac:dyDescent="0.3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" thickBot="1" x14ac:dyDescent="0.3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" thickBot="1" x14ac:dyDescent="0.3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" thickBot="1" x14ac:dyDescent="0.3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" thickBot="1" x14ac:dyDescent="0.3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" thickBot="1" x14ac:dyDescent="0.3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" thickBot="1" x14ac:dyDescent="0.3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" thickBot="1" x14ac:dyDescent="0.3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" thickBot="1" x14ac:dyDescent="0.3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" thickBot="1" x14ac:dyDescent="0.3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" thickBot="1" x14ac:dyDescent="0.3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" thickBot="1" x14ac:dyDescent="0.3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" thickBot="1" x14ac:dyDescent="0.3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" thickBot="1" x14ac:dyDescent="0.3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" thickBot="1" x14ac:dyDescent="0.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" thickBot="1" x14ac:dyDescent="0.3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" thickBot="1" x14ac:dyDescent="0.3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" thickBot="1" x14ac:dyDescent="0.3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" thickBot="1" x14ac:dyDescent="0.3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" thickBot="1" x14ac:dyDescent="0.3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" thickBot="1" x14ac:dyDescent="0.3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" thickBot="1" x14ac:dyDescent="0.3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" thickBot="1" x14ac:dyDescent="0.3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" thickBot="1" x14ac:dyDescent="0.3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" thickBot="1" x14ac:dyDescent="0.3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" thickBot="1" x14ac:dyDescent="0.3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" thickBot="1" x14ac:dyDescent="0.3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" thickBot="1" x14ac:dyDescent="0.3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" thickBot="1" x14ac:dyDescent="0.3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" thickBot="1" x14ac:dyDescent="0.3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" thickBot="1" x14ac:dyDescent="0.3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" thickBot="1" x14ac:dyDescent="0.3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" thickBot="1" x14ac:dyDescent="0.3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" thickBot="1" x14ac:dyDescent="0.3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" thickBot="1" x14ac:dyDescent="0.3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" thickBot="1" x14ac:dyDescent="0.3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" thickBot="1" x14ac:dyDescent="0.3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" thickBot="1" x14ac:dyDescent="0.3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" thickBot="1" x14ac:dyDescent="0.3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" thickBot="1" x14ac:dyDescent="0.3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" thickBot="1" x14ac:dyDescent="0.3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" thickBot="1" x14ac:dyDescent="0.3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" thickBot="1" x14ac:dyDescent="0.3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" thickBot="1" x14ac:dyDescent="0.3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" thickBot="1" x14ac:dyDescent="0.3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" thickBot="1" x14ac:dyDescent="0.3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" thickBot="1" x14ac:dyDescent="0.3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" thickBot="1" x14ac:dyDescent="0.3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" thickBot="1" x14ac:dyDescent="0.3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" thickBot="1" x14ac:dyDescent="0.3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" thickBot="1" x14ac:dyDescent="0.3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" thickBot="1" x14ac:dyDescent="0.3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" thickBot="1" x14ac:dyDescent="0.3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" thickBot="1" x14ac:dyDescent="0.3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" thickBot="1" x14ac:dyDescent="0.3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" thickBot="1" x14ac:dyDescent="0.3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" thickBot="1" x14ac:dyDescent="0.3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" thickBot="1" x14ac:dyDescent="0.3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" thickBot="1" x14ac:dyDescent="0.3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" thickBot="1" x14ac:dyDescent="0.3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" thickBot="1" x14ac:dyDescent="0.3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" thickBot="1" x14ac:dyDescent="0.3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" thickBot="1" x14ac:dyDescent="0.3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" thickBot="1" x14ac:dyDescent="0.3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" thickBot="1" x14ac:dyDescent="0.3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" thickBot="1" x14ac:dyDescent="0.3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" thickBot="1" x14ac:dyDescent="0.3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" thickBot="1" x14ac:dyDescent="0.3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" thickBot="1" x14ac:dyDescent="0.3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" thickBot="1" x14ac:dyDescent="0.3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" thickBot="1" x14ac:dyDescent="0.3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" thickBot="1" x14ac:dyDescent="0.3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" thickBot="1" x14ac:dyDescent="0.3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" thickBot="1" x14ac:dyDescent="0.3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" thickBot="1" x14ac:dyDescent="0.3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" thickBot="1" x14ac:dyDescent="0.3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" thickBot="1" x14ac:dyDescent="0.3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" thickBot="1" x14ac:dyDescent="0.3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" thickBot="1" x14ac:dyDescent="0.3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" thickBot="1" x14ac:dyDescent="0.3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" thickBot="1" x14ac:dyDescent="0.3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" thickBot="1" x14ac:dyDescent="0.3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" thickBot="1" x14ac:dyDescent="0.3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" thickBot="1" x14ac:dyDescent="0.3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" thickBot="1" x14ac:dyDescent="0.3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" thickBot="1" x14ac:dyDescent="0.3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" thickBot="1" x14ac:dyDescent="0.3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" thickBot="1" x14ac:dyDescent="0.3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" thickBot="1" x14ac:dyDescent="0.3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" thickBot="1" x14ac:dyDescent="0.3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" thickBot="1" x14ac:dyDescent="0.3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" thickBot="1" x14ac:dyDescent="0.3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" thickBot="1" x14ac:dyDescent="0.3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" thickBot="1" x14ac:dyDescent="0.3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" thickBot="1" x14ac:dyDescent="0.3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" thickBot="1" x14ac:dyDescent="0.3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" thickBot="1" x14ac:dyDescent="0.3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" thickBot="1" x14ac:dyDescent="0.3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" thickBot="1" x14ac:dyDescent="0.3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" thickBot="1" x14ac:dyDescent="0.3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" thickBot="1" x14ac:dyDescent="0.3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" thickBot="1" x14ac:dyDescent="0.3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" thickBot="1" x14ac:dyDescent="0.3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" thickBot="1" x14ac:dyDescent="0.3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" thickBot="1" x14ac:dyDescent="0.3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" thickBot="1" x14ac:dyDescent="0.3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" thickBot="1" x14ac:dyDescent="0.3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" thickBot="1" x14ac:dyDescent="0.3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" thickBot="1" x14ac:dyDescent="0.3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" thickBot="1" x14ac:dyDescent="0.3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" thickBot="1" x14ac:dyDescent="0.3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" thickBot="1" x14ac:dyDescent="0.3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" thickBot="1" x14ac:dyDescent="0.3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" thickBot="1" x14ac:dyDescent="0.3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" thickBot="1" x14ac:dyDescent="0.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" thickBot="1" x14ac:dyDescent="0.3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" thickBot="1" x14ac:dyDescent="0.3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" thickBot="1" x14ac:dyDescent="0.3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" thickBot="1" x14ac:dyDescent="0.3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" thickBot="1" x14ac:dyDescent="0.3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" thickBot="1" x14ac:dyDescent="0.3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" thickBot="1" x14ac:dyDescent="0.3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" thickBot="1" x14ac:dyDescent="0.3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" thickBot="1" x14ac:dyDescent="0.3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" thickBot="1" x14ac:dyDescent="0.3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" thickBot="1" x14ac:dyDescent="0.3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" thickBot="1" x14ac:dyDescent="0.3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" thickBot="1" x14ac:dyDescent="0.3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" thickBot="1" x14ac:dyDescent="0.3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" thickBot="1" x14ac:dyDescent="0.3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" thickBot="1" x14ac:dyDescent="0.3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" thickBot="1" x14ac:dyDescent="0.3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" thickBot="1" x14ac:dyDescent="0.3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" thickBot="1" x14ac:dyDescent="0.3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" thickBot="1" x14ac:dyDescent="0.3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" thickBot="1" x14ac:dyDescent="0.3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" thickBot="1" x14ac:dyDescent="0.3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" thickBot="1" x14ac:dyDescent="0.3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" thickBot="1" x14ac:dyDescent="0.3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" thickBot="1" x14ac:dyDescent="0.3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" thickBot="1" x14ac:dyDescent="0.3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" thickBot="1" x14ac:dyDescent="0.3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" thickBot="1" x14ac:dyDescent="0.3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" thickBot="1" x14ac:dyDescent="0.3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" thickBot="1" x14ac:dyDescent="0.3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" thickBot="1" x14ac:dyDescent="0.3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" thickBot="1" x14ac:dyDescent="0.3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" thickBot="1" x14ac:dyDescent="0.3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" thickBot="1" x14ac:dyDescent="0.3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" thickBot="1" x14ac:dyDescent="0.3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" thickBot="1" x14ac:dyDescent="0.3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" thickBot="1" x14ac:dyDescent="0.3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" thickBot="1" x14ac:dyDescent="0.3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" thickBot="1" x14ac:dyDescent="0.3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" thickBot="1" x14ac:dyDescent="0.3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" thickBot="1" x14ac:dyDescent="0.3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" thickBot="1" x14ac:dyDescent="0.3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" thickBot="1" x14ac:dyDescent="0.3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" thickBot="1" x14ac:dyDescent="0.3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" thickBot="1" x14ac:dyDescent="0.3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" thickBot="1" x14ac:dyDescent="0.3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" thickBot="1" x14ac:dyDescent="0.3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" thickBot="1" x14ac:dyDescent="0.3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" thickBot="1" x14ac:dyDescent="0.3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" thickBot="1" x14ac:dyDescent="0.3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" thickBot="1" x14ac:dyDescent="0.3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" thickBot="1" x14ac:dyDescent="0.3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" thickBot="1" x14ac:dyDescent="0.3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" thickBot="1" x14ac:dyDescent="0.3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" thickBot="1" x14ac:dyDescent="0.3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" thickBot="1" x14ac:dyDescent="0.3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" thickBot="1" x14ac:dyDescent="0.3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" thickBot="1" x14ac:dyDescent="0.3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" thickBot="1" x14ac:dyDescent="0.3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" thickBot="1" x14ac:dyDescent="0.3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" thickBot="1" x14ac:dyDescent="0.3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" thickBot="1" x14ac:dyDescent="0.3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" thickBot="1" x14ac:dyDescent="0.3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" thickBot="1" x14ac:dyDescent="0.3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" thickBot="1" x14ac:dyDescent="0.3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" thickBot="1" x14ac:dyDescent="0.3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" thickBot="1" x14ac:dyDescent="0.3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" thickBot="1" x14ac:dyDescent="0.3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" thickBot="1" x14ac:dyDescent="0.3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" thickBot="1" x14ac:dyDescent="0.3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" thickBot="1" x14ac:dyDescent="0.3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" thickBot="1" x14ac:dyDescent="0.3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" thickBot="1" x14ac:dyDescent="0.3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" thickBot="1" x14ac:dyDescent="0.3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" thickBot="1" x14ac:dyDescent="0.3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" thickBot="1" x14ac:dyDescent="0.3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" thickBot="1" x14ac:dyDescent="0.3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" thickBot="1" x14ac:dyDescent="0.3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" thickBot="1" x14ac:dyDescent="0.3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" thickBot="1" x14ac:dyDescent="0.3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" thickBot="1" x14ac:dyDescent="0.3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" thickBot="1" x14ac:dyDescent="0.3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" thickBot="1" x14ac:dyDescent="0.3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" thickBot="1" x14ac:dyDescent="0.3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" thickBot="1" x14ac:dyDescent="0.3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" thickBot="1" x14ac:dyDescent="0.3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" thickBot="1" x14ac:dyDescent="0.3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" thickBot="1" x14ac:dyDescent="0.3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" thickBot="1" x14ac:dyDescent="0.3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" thickBot="1" x14ac:dyDescent="0.3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" thickBot="1" x14ac:dyDescent="0.3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" thickBot="1" x14ac:dyDescent="0.3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" thickBot="1" x14ac:dyDescent="0.3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" thickBot="1" x14ac:dyDescent="0.3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" thickBot="1" x14ac:dyDescent="0.3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" thickBot="1" x14ac:dyDescent="0.3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" thickBot="1" x14ac:dyDescent="0.3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" thickBot="1" x14ac:dyDescent="0.3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" thickBot="1" x14ac:dyDescent="0.3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" thickBot="1" x14ac:dyDescent="0.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" thickBot="1" x14ac:dyDescent="0.3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" thickBot="1" x14ac:dyDescent="0.3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" thickBot="1" x14ac:dyDescent="0.3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" thickBot="1" x14ac:dyDescent="0.3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" thickBot="1" x14ac:dyDescent="0.3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" thickBot="1" x14ac:dyDescent="0.3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" thickBot="1" x14ac:dyDescent="0.3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" thickBot="1" x14ac:dyDescent="0.3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" thickBot="1" x14ac:dyDescent="0.3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" thickBot="1" x14ac:dyDescent="0.3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" thickBot="1" x14ac:dyDescent="0.3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" thickBot="1" x14ac:dyDescent="0.3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" thickBot="1" x14ac:dyDescent="0.3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" thickBot="1" x14ac:dyDescent="0.3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" thickBot="1" x14ac:dyDescent="0.3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" thickBot="1" x14ac:dyDescent="0.3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" thickBot="1" x14ac:dyDescent="0.3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" thickBot="1" x14ac:dyDescent="0.3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" thickBot="1" x14ac:dyDescent="0.3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" thickBot="1" x14ac:dyDescent="0.3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" thickBot="1" x14ac:dyDescent="0.3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" thickBot="1" x14ac:dyDescent="0.3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" thickBot="1" x14ac:dyDescent="0.3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" thickBot="1" x14ac:dyDescent="0.3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" thickBot="1" x14ac:dyDescent="0.3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" thickBot="1" x14ac:dyDescent="0.3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" thickBot="1" x14ac:dyDescent="0.3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" thickBot="1" x14ac:dyDescent="0.3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" thickBot="1" x14ac:dyDescent="0.3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" thickBot="1" x14ac:dyDescent="0.3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" thickBot="1" x14ac:dyDescent="0.3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" thickBot="1" x14ac:dyDescent="0.3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" thickBot="1" x14ac:dyDescent="0.3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" thickBot="1" x14ac:dyDescent="0.3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" thickBot="1" x14ac:dyDescent="0.3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" thickBot="1" x14ac:dyDescent="0.3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" thickBot="1" x14ac:dyDescent="0.3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" thickBot="1" x14ac:dyDescent="0.3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" thickBot="1" x14ac:dyDescent="0.3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" thickBot="1" x14ac:dyDescent="0.3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" thickBot="1" x14ac:dyDescent="0.3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" thickBot="1" x14ac:dyDescent="0.3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" thickBot="1" x14ac:dyDescent="0.3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" thickBot="1" x14ac:dyDescent="0.3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" thickBot="1" x14ac:dyDescent="0.3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" thickBot="1" x14ac:dyDescent="0.3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" thickBot="1" x14ac:dyDescent="0.3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" thickBot="1" x14ac:dyDescent="0.3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" thickBot="1" x14ac:dyDescent="0.3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" thickBot="1" x14ac:dyDescent="0.3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" thickBot="1" x14ac:dyDescent="0.3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" thickBot="1" x14ac:dyDescent="0.3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" thickBot="1" x14ac:dyDescent="0.3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" thickBot="1" x14ac:dyDescent="0.3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" thickBot="1" x14ac:dyDescent="0.3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" thickBot="1" x14ac:dyDescent="0.3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" thickBot="1" x14ac:dyDescent="0.3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" thickBot="1" x14ac:dyDescent="0.3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" thickBot="1" x14ac:dyDescent="0.3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" thickBot="1" x14ac:dyDescent="0.3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" thickBot="1" x14ac:dyDescent="0.3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" thickBot="1" x14ac:dyDescent="0.3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" thickBot="1" x14ac:dyDescent="0.3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" thickBot="1" x14ac:dyDescent="0.3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" thickBot="1" x14ac:dyDescent="0.3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" thickBot="1" x14ac:dyDescent="0.3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" thickBot="1" x14ac:dyDescent="0.3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" thickBot="1" x14ac:dyDescent="0.3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" thickBot="1" x14ac:dyDescent="0.3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" thickBot="1" x14ac:dyDescent="0.3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" thickBot="1" x14ac:dyDescent="0.3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" thickBot="1" x14ac:dyDescent="0.3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" thickBot="1" x14ac:dyDescent="0.3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" thickBot="1" x14ac:dyDescent="0.3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" thickBot="1" x14ac:dyDescent="0.3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" thickBot="1" x14ac:dyDescent="0.3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" thickBot="1" x14ac:dyDescent="0.3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" thickBot="1" x14ac:dyDescent="0.3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" thickBot="1" x14ac:dyDescent="0.3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" thickBot="1" x14ac:dyDescent="0.3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" thickBot="1" x14ac:dyDescent="0.3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" thickBot="1" x14ac:dyDescent="0.3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" thickBot="1" x14ac:dyDescent="0.3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" thickBot="1" x14ac:dyDescent="0.3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" thickBot="1" x14ac:dyDescent="0.3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" thickBot="1" x14ac:dyDescent="0.3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" thickBot="1" x14ac:dyDescent="0.3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" thickBot="1" x14ac:dyDescent="0.3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" thickBot="1" x14ac:dyDescent="0.3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" thickBot="1" x14ac:dyDescent="0.3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" thickBot="1" x14ac:dyDescent="0.3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" thickBot="1" x14ac:dyDescent="0.3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" thickBot="1" x14ac:dyDescent="0.3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" thickBot="1" x14ac:dyDescent="0.3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" thickBot="1" x14ac:dyDescent="0.3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" thickBot="1" x14ac:dyDescent="0.3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" thickBot="1" x14ac:dyDescent="0.3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" thickBot="1" x14ac:dyDescent="0.3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" thickBot="1" x14ac:dyDescent="0.3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" thickBot="1" x14ac:dyDescent="0.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" thickBot="1" x14ac:dyDescent="0.3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" thickBot="1" x14ac:dyDescent="0.3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" thickBot="1" x14ac:dyDescent="0.3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" thickBot="1" x14ac:dyDescent="0.3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" thickBot="1" x14ac:dyDescent="0.3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" thickBot="1" x14ac:dyDescent="0.3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" thickBot="1" x14ac:dyDescent="0.3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" thickBot="1" x14ac:dyDescent="0.3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" thickBot="1" x14ac:dyDescent="0.3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" thickBot="1" x14ac:dyDescent="0.3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" thickBot="1" x14ac:dyDescent="0.3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" thickBot="1" x14ac:dyDescent="0.3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" thickBot="1" x14ac:dyDescent="0.3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" thickBot="1" x14ac:dyDescent="0.3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" thickBot="1" x14ac:dyDescent="0.3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" thickBot="1" x14ac:dyDescent="0.3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" thickBot="1" x14ac:dyDescent="0.3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" thickBot="1" x14ac:dyDescent="0.3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" thickBot="1" x14ac:dyDescent="0.3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" thickBot="1" x14ac:dyDescent="0.3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" thickBot="1" x14ac:dyDescent="0.3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" thickBot="1" x14ac:dyDescent="0.3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" thickBot="1" x14ac:dyDescent="0.3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" thickBot="1" x14ac:dyDescent="0.3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" thickBot="1" x14ac:dyDescent="0.3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" thickBot="1" x14ac:dyDescent="0.3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" thickBot="1" x14ac:dyDescent="0.3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" thickBot="1" x14ac:dyDescent="0.3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" thickBot="1" x14ac:dyDescent="0.3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" thickBot="1" x14ac:dyDescent="0.3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" thickBot="1" x14ac:dyDescent="0.3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" thickBot="1" x14ac:dyDescent="0.3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" thickBot="1" x14ac:dyDescent="0.3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" thickBot="1" x14ac:dyDescent="0.3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" thickBot="1" x14ac:dyDescent="0.3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" thickBot="1" x14ac:dyDescent="0.3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" thickBot="1" x14ac:dyDescent="0.3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" thickBot="1" x14ac:dyDescent="0.3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" thickBot="1" x14ac:dyDescent="0.3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" thickBot="1" x14ac:dyDescent="0.3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" thickBot="1" x14ac:dyDescent="0.3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" thickBot="1" x14ac:dyDescent="0.3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" thickBot="1" x14ac:dyDescent="0.3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" thickBot="1" x14ac:dyDescent="0.3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" thickBot="1" x14ac:dyDescent="0.3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" thickBot="1" x14ac:dyDescent="0.3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" thickBot="1" x14ac:dyDescent="0.3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" thickBot="1" x14ac:dyDescent="0.3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" thickBot="1" x14ac:dyDescent="0.3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" thickBot="1" x14ac:dyDescent="0.3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" thickBot="1" x14ac:dyDescent="0.3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" thickBot="1" x14ac:dyDescent="0.3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" thickBot="1" x14ac:dyDescent="0.3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" thickBot="1" x14ac:dyDescent="0.3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" thickBot="1" x14ac:dyDescent="0.3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" thickBot="1" x14ac:dyDescent="0.3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" thickBot="1" x14ac:dyDescent="0.3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" thickBot="1" x14ac:dyDescent="0.3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" thickBot="1" x14ac:dyDescent="0.3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" thickBot="1" x14ac:dyDescent="0.3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" thickBot="1" x14ac:dyDescent="0.3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" thickBot="1" x14ac:dyDescent="0.3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" thickBot="1" x14ac:dyDescent="0.3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" thickBot="1" x14ac:dyDescent="0.3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" thickBot="1" x14ac:dyDescent="0.3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" thickBot="1" x14ac:dyDescent="0.3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" thickBot="1" x14ac:dyDescent="0.3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" thickBot="1" x14ac:dyDescent="0.3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" thickBot="1" x14ac:dyDescent="0.3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" thickBot="1" x14ac:dyDescent="0.3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" thickBot="1" x14ac:dyDescent="0.3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" thickBot="1" x14ac:dyDescent="0.3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" thickBot="1" x14ac:dyDescent="0.3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" thickBot="1" x14ac:dyDescent="0.3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" thickBot="1" x14ac:dyDescent="0.3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" thickBot="1" x14ac:dyDescent="0.3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" thickBot="1" x14ac:dyDescent="0.3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" thickBot="1" x14ac:dyDescent="0.3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" thickBot="1" x14ac:dyDescent="0.3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" thickBot="1" x14ac:dyDescent="0.3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" thickBot="1" x14ac:dyDescent="0.3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" thickBot="1" x14ac:dyDescent="0.3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" thickBot="1" x14ac:dyDescent="0.3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" thickBot="1" x14ac:dyDescent="0.3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" thickBot="1" x14ac:dyDescent="0.3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" thickBot="1" x14ac:dyDescent="0.3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" thickBot="1" x14ac:dyDescent="0.3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" thickBot="1" x14ac:dyDescent="0.3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" thickBot="1" x14ac:dyDescent="0.3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" thickBot="1" x14ac:dyDescent="0.3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" thickBot="1" x14ac:dyDescent="0.3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" thickBot="1" x14ac:dyDescent="0.3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" thickBot="1" x14ac:dyDescent="0.3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" thickBot="1" x14ac:dyDescent="0.3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" thickBot="1" x14ac:dyDescent="0.3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" thickBot="1" x14ac:dyDescent="0.3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" thickBot="1" x14ac:dyDescent="0.3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" thickBot="1" x14ac:dyDescent="0.3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" thickBot="1" x14ac:dyDescent="0.3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" thickBot="1" x14ac:dyDescent="0.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" thickBot="1" x14ac:dyDescent="0.3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" thickBot="1" x14ac:dyDescent="0.3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" thickBot="1" x14ac:dyDescent="0.3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" thickBot="1" x14ac:dyDescent="0.3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" thickBot="1" x14ac:dyDescent="0.3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" thickBot="1" x14ac:dyDescent="0.3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" thickBot="1" x14ac:dyDescent="0.3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" thickBot="1" x14ac:dyDescent="0.3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" thickBot="1" x14ac:dyDescent="0.3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" thickBot="1" x14ac:dyDescent="0.3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" thickBot="1" x14ac:dyDescent="0.3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" thickBot="1" x14ac:dyDescent="0.3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" thickBot="1" x14ac:dyDescent="0.3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" thickBot="1" x14ac:dyDescent="0.3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" thickBot="1" x14ac:dyDescent="0.3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" thickBot="1" x14ac:dyDescent="0.3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" thickBot="1" x14ac:dyDescent="0.3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" thickBot="1" x14ac:dyDescent="0.3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" thickBot="1" x14ac:dyDescent="0.3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" thickBot="1" x14ac:dyDescent="0.3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" thickBot="1" x14ac:dyDescent="0.3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" thickBot="1" x14ac:dyDescent="0.3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" thickBot="1" x14ac:dyDescent="0.3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" thickBot="1" x14ac:dyDescent="0.3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" thickBot="1" x14ac:dyDescent="0.3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" thickBot="1" x14ac:dyDescent="0.3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" thickBot="1" x14ac:dyDescent="0.3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" thickBot="1" x14ac:dyDescent="0.3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" thickBot="1" x14ac:dyDescent="0.3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" thickBot="1" x14ac:dyDescent="0.3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" thickBot="1" x14ac:dyDescent="0.3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" thickBot="1" x14ac:dyDescent="0.3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" thickBot="1" x14ac:dyDescent="0.3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" thickBot="1" x14ac:dyDescent="0.3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" thickBot="1" x14ac:dyDescent="0.3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" thickBot="1" x14ac:dyDescent="0.3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" thickBot="1" x14ac:dyDescent="0.3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" thickBot="1" x14ac:dyDescent="0.3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" thickBot="1" x14ac:dyDescent="0.3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" thickBot="1" x14ac:dyDescent="0.3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" thickBot="1" x14ac:dyDescent="0.3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" thickBot="1" x14ac:dyDescent="0.3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" thickBot="1" x14ac:dyDescent="0.3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" thickBot="1" x14ac:dyDescent="0.3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" thickBot="1" x14ac:dyDescent="0.3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" thickBot="1" x14ac:dyDescent="0.3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" thickBot="1" x14ac:dyDescent="0.3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" thickBot="1" x14ac:dyDescent="0.3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" thickBot="1" x14ac:dyDescent="0.3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" thickBot="1" x14ac:dyDescent="0.3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" thickBot="1" x14ac:dyDescent="0.3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" thickBot="1" x14ac:dyDescent="0.3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" thickBot="1" x14ac:dyDescent="0.3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" thickBot="1" x14ac:dyDescent="0.3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" thickBot="1" x14ac:dyDescent="0.3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" thickBot="1" x14ac:dyDescent="0.3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" thickBot="1" x14ac:dyDescent="0.3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" thickBot="1" x14ac:dyDescent="0.3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" thickBot="1" x14ac:dyDescent="0.3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" thickBot="1" x14ac:dyDescent="0.3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" thickBot="1" x14ac:dyDescent="0.3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" thickBot="1" x14ac:dyDescent="0.3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" thickBot="1" x14ac:dyDescent="0.3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" thickBot="1" x14ac:dyDescent="0.3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" thickBot="1" x14ac:dyDescent="0.3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A1:Q46" xr:uid="{E963B9BF-B461-466A-B997-28ED570B3D28}">
    <filterColumn colId="7">
      <filters>
        <filter val="não"/>
      </filters>
    </filterColumn>
  </autoFilter>
  <hyperlinks>
    <hyperlink ref="O5" r:id="rId1" xr:uid="{15CACAA4-1019-4B2A-9FB8-A6C7B84D7EDC}"/>
    <hyperlink ref="O6" r:id="rId2" xr:uid="{D193B4E5-BFAF-413E-8162-2833D16EB150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Dados BRUTOS</vt:lpstr>
      <vt:lpstr>Dados brutos R</vt:lpstr>
      <vt:lpstr>Dados literatura (variação)</vt:lpstr>
      <vt:lpstr>Objetivo a) rascunho tabela</vt:lpstr>
      <vt:lpstr>Objetivo_a_R</vt:lpstr>
      <vt:lpstr>sp2</vt:lpstr>
      <vt:lpstr>sp4</vt:lpstr>
      <vt:lpstr>sp10</vt:lpstr>
      <vt:lpstr>sp15</vt:lpstr>
      <vt:lpstr>sp20</vt:lpstr>
      <vt:lpstr>sp22</vt:lpstr>
      <vt:lpstr>Objetivo b) rascunho</vt:lpstr>
      <vt:lpstr>Objetivo_b_R</vt:lpstr>
      <vt:lpstr>wood_density_sampled</vt:lpstr>
      <vt:lpstr>Dados brutos relatório</vt:lpstr>
      <vt:lpstr>Biomassa</vt:lpstr>
      <vt:lpstr>Planilha1</vt:lpstr>
      <vt:lpstr>Densidade média por espécie</vt:lpstr>
      <vt:lpstr>Com equações</vt:lpstr>
      <vt:lpstr>Gui Mores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João Paulo</cp:lastModifiedBy>
  <cp:revision/>
  <dcterms:created xsi:type="dcterms:W3CDTF">2022-08-02T14:02:51Z</dcterms:created>
  <dcterms:modified xsi:type="dcterms:W3CDTF">2026-02-26T17:14:46Z</dcterms:modified>
  <cp:category/>
  <cp:contentStatus/>
</cp:coreProperties>
</file>